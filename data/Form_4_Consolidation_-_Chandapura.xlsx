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chimuthupandian.P\OneDrive - Ashok Leyland Ltd\2026-2027\Black Belt\BB Project\Base line justification DATA from Chandapura\Form-4\"/>
    </mc:Choice>
  </mc:AlternateContent>
  <xr:revisionPtr revIDLastSave="139" documentId="8_{61A6082D-7540-4059-9863-232E97ADEBE1}" xr6:coauthVersionLast="36" xr6:coauthVersionMax="36" xr10:uidLastSave="{38B10C71-ACCA-497C-9D9C-8169D542D71D}"/>
  <bookViews>
    <workbookView xWindow="0" yWindow="0" windowWidth="19200" windowHeight="8010" xr2:uid="{1D3EB759-C1E9-43DF-826B-3EC3F6809B16}"/>
  </bookViews>
  <sheets>
    <sheet name="Schedule category" sheetId="1" r:id="rId1"/>
    <sheet name="Bus category" sheetId="2" r:id="rId2"/>
  </sheets>
  <definedNames>
    <definedName name="_xlnm._FilterDatabase" localSheetId="0" hidden="1">'Schedule category'!$A$1:$M$1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/>
  <c r="I5" i="1"/>
  <c r="J5" i="1"/>
  <c r="I6" i="1"/>
  <c r="J6" i="1"/>
  <c r="I7" i="1"/>
  <c r="J7" i="1"/>
  <c r="I8" i="1"/>
  <c r="J8" i="1"/>
  <c r="I9" i="1"/>
  <c r="J9" i="1" s="1"/>
  <c r="I10" i="1"/>
  <c r="J10" i="1"/>
  <c r="I11" i="1"/>
  <c r="J11" i="1"/>
  <c r="I12" i="1"/>
  <c r="J12" i="1"/>
  <c r="I13" i="1"/>
  <c r="J13" i="1"/>
  <c r="I14" i="1"/>
  <c r="J14" i="1"/>
  <c r="I15" i="1"/>
  <c r="J15" i="1" s="1"/>
  <c r="I16" i="1"/>
  <c r="J16" i="1"/>
  <c r="I17" i="1"/>
  <c r="J17" i="1"/>
  <c r="I18" i="1"/>
  <c r="J18" i="1"/>
  <c r="I19" i="1"/>
  <c r="J19" i="1"/>
  <c r="I20" i="1"/>
  <c r="J20" i="1"/>
  <c r="I21" i="1"/>
  <c r="J21" i="1" s="1"/>
  <c r="I22" i="1"/>
  <c r="J22" i="1"/>
  <c r="I23" i="1"/>
  <c r="J23" i="1"/>
  <c r="I24" i="1"/>
  <c r="J24" i="1"/>
  <c r="I25" i="1"/>
  <c r="J25" i="1"/>
  <c r="I26" i="1"/>
  <c r="J26" i="1"/>
  <c r="I27" i="1"/>
  <c r="J27" i="1" s="1"/>
  <c r="I28" i="1"/>
  <c r="J28" i="1"/>
  <c r="I29" i="1"/>
  <c r="J29" i="1"/>
  <c r="I30" i="1"/>
  <c r="J30" i="1"/>
  <c r="I31" i="1"/>
  <c r="J31" i="1"/>
  <c r="I32" i="1"/>
  <c r="J32" i="1"/>
  <c r="I33" i="1"/>
  <c r="J33" i="1" s="1"/>
  <c r="I34" i="1"/>
  <c r="J34" i="1"/>
  <c r="I35" i="1"/>
  <c r="J35" i="1"/>
  <c r="I36" i="1"/>
  <c r="J36" i="1"/>
  <c r="I37" i="1"/>
  <c r="J37" i="1"/>
  <c r="I38" i="1"/>
  <c r="J38" i="1"/>
  <c r="I39" i="1"/>
  <c r="J39" i="1" s="1"/>
  <c r="I40" i="1"/>
  <c r="J40" i="1"/>
  <c r="I41" i="1"/>
  <c r="J41" i="1"/>
  <c r="I42" i="1"/>
  <c r="J42" i="1"/>
  <c r="I43" i="1"/>
  <c r="J43" i="1"/>
  <c r="I44" i="1"/>
  <c r="J44" i="1"/>
  <c r="I45" i="1"/>
  <c r="J45" i="1" s="1"/>
  <c r="I46" i="1"/>
  <c r="J46" i="1"/>
  <c r="I47" i="1"/>
  <c r="J47" i="1"/>
  <c r="I48" i="1"/>
  <c r="J48" i="1"/>
  <c r="I49" i="1"/>
  <c r="J49" i="1"/>
  <c r="I50" i="1"/>
  <c r="J50" i="1"/>
  <c r="I51" i="1"/>
  <c r="J51" i="1" s="1"/>
  <c r="I52" i="1"/>
  <c r="J52" i="1"/>
  <c r="I53" i="1"/>
  <c r="J53" i="1"/>
  <c r="I54" i="1"/>
  <c r="J54" i="1"/>
  <c r="I55" i="1"/>
  <c r="J55" i="1"/>
  <c r="I56" i="1"/>
  <c r="J56" i="1"/>
  <c r="I57" i="1"/>
  <c r="J57" i="1" s="1"/>
  <c r="I58" i="1"/>
  <c r="J58" i="1"/>
  <c r="I59" i="1"/>
  <c r="J59" i="1"/>
  <c r="I60" i="1"/>
  <c r="J60" i="1"/>
  <c r="I61" i="1"/>
  <c r="J61" i="1"/>
  <c r="I62" i="1"/>
  <c r="J62" i="1"/>
  <c r="I63" i="1"/>
  <c r="J63" i="1" s="1"/>
  <c r="I64" i="1"/>
  <c r="J64" i="1"/>
  <c r="I65" i="1"/>
  <c r="J65" i="1"/>
  <c r="I66" i="1"/>
  <c r="J66" i="1"/>
  <c r="I67" i="1"/>
  <c r="J67" i="1"/>
  <c r="I68" i="1"/>
  <c r="J68" i="1"/>
  <c r="I69" i="1"/>
  <c r="J69" i="1" s="1"/>
  <c r="I70" i="1"/>
  <c r="J70" i="1"/>
  <c r="I71" i="1"/>
  <c r="J71" i="1"/>
  <c r="I72" i="1"/>
  <c r="J72" i="1"/>
  <c r="I73" i="1"/>
  <c r="J73" i="1"/>
  <c r="I74" i="1"/>
  <c r="J74" i="1"/>
  <c r="I75" i="1"/>
  <c r="J75" i="1" s="1"/>
  <c r="I76" i="1"/>
  <c r="J76" i="1"/>
  <c r="I77" i="1"/>
  <c r="J77" i="1"/>
  <c r="I78" i="1"/>
  <c r="J78" i="1"/>
  <c r="I79" i="1"/>
  <c r="J79" i="1"/>
  <c r="I80" i="1"/>
  <c r="J80" i="1"/>
  <c r="I81" i="1"/>
  <c r="J81" i="1" s="1"/>
  <c r="I82" i="1"/>
  <c r="J82" i="1"/>
  <c r="I83" i="1"/>
  <c r="J83" i="1"/>
  <c r="I84" i="1"/>
  <c r="J84" i="1"/>
  <c r="I85" i="1"/>
  <c r="J85" i="1"/>
  <c r="I86" i="1"/>
  <c r="J86" i="1"/>
  <c r="I87" i="1"/>
  <c r="J87" i="1" s="1"/>
  <c r="I88" i="1"/>
  <c r="J88" i="1"/>
  <c r="I89" i="1"/>
  <c r="J89" i="1"/>
  <c r="I90" i="1"/>
  <c r="J90" i="1"/>
  <c r="I91" i="1"/>
  <c r="J91" i="1"/>
  <c r="I92" i="1"/>
  <c r="J92" i="1"/>
  <c r="I93" i="1"/>
  <c r="J93" i="1" s="1"/>
  <c r="I94" i="1"/>
  <c r="J94" i="1"/>
  <c r="I95" i="1"/>
  <c r="J95" i="1"/>
  <c r="I96" i="1"/>
  <c r="J96" i="1"/>
  <c r="I97" i="1"/>
  <c r="J97" i="1"/>
  <c r="I98" i="1"/>
  <c r="J98" i="1"/>
  <c r="I99" i="1"/>
  <c r="J99" i="1" s="1"/>
  <c r="I100" i="1"/>
  <c r="J100" i="1"/>
  <c r="I101" i="1"/>
  <c r="J101" i="1"/>
  <c r="I102" i="1"/>
  <c r="J102" i="1"/>
  <c r="I103" i="1"/>
  <c r="J103" i="1"/>
  <c r="I104" i="1"/>
  <c r="J104" i="1"/>
  <c r="I105" i="1"/>
  <c r="J105" i="1" s="1"/>
  <c r="I106" i="1"/>
  <c r="J106" i="1"/>
  <c r="I107" i="1"/>
  <c r="J107" i="1"/>
  <c r="I108" i="1"/>
  <c r="J108" i="1"/>
  <c r="I109" i="1"/>
  <c r="J109" i="1"/>
  <c r="I110" i="1"/>
  <c r="J110" i="1"/>
  <c r="I111" i="1"/>
  <c r="J111" i="1" s="1"/>
  <c r="I112" i="1"/>
  <c r="J112" i="1"/>
  <c r="I113" i="1"/>
  <c r="J113" i="1"/>
  <c r="I114" i="1"/>
  <c r="J114" i="1"/>
  <c r="I115" i="1"/>
  <c r="J115" i="1"/>
  <c r="I116" i="1"/>
  <c r="J116" i="1"/>
  <c r="I117" i="1"/>
  <c r="J117" i="1" s="1"/>
  <c r="I118" i="1"/>
  <c r="J118" i="1"/>
  <c r="I119" i="1"/>
  <c r="J119" i="1"/>
  <c r="I120" i="1"/>
  <c r="J120" i="1"/>
  <c r="I121" i="1"/>
  <c r="J121" i="1"/>
  <c r="I122" i="1"/>
  <c r="J122" i="1"/>
  <c r="I123" i="1"/>
  <c r="J123" i="1" s="1"/>
  <c r="I124" i="1"/>
  <c r="J124" i="1"/>
  <c r="I125" i="1"/>
  <c r="J125" i="1"/>
  <c r="I126" i="1"/>
  <c r="J126" i="1"/>
  <c r="I127" i="1"/>
  <c r="J127" i="1"/>
  <c r="I128" i="1"/>
  <c r="J128" i="1"/>
  <c r="I129" i="1"/>
  <c r="J129" i="1" s="1"/>
  <c r="I130" i="1"/>
  <c r="J130" i="1"/>
  <c r="I131" i="1"/>
  <c r="J131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5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2" i="1"/>
  <c r="H123" i="1" l="1"/>
  <c r="H54" i="1" l="1"/>
  <c r="H55" i="1"/>
  <c r="H56" i="1"/>
  <c r="H57" i="1"/>
  <c r="H58" i="1"/>
  <c r="H59" i="1"/>
  <c r="H60" i="1"/>
  <c r="H51" i="1"/>
  <c r="H52" i="1"/>
  <c r="H2" i="1"/>
  <c r="H3" i="1"/>
  <c r="H4" i="1"/>
  <c r="H5" i="1"/>
  <c r="H6" i="1"/>
  <c r="H7" i="1"/>
  <c r="H8" i="1"/>
  <c r="H9" i="1"/>
  <c r="H19" i="1"/>
  <c r="H10" i="1"/>
  <c r="H11" i="1"/>
  <c r="H12" i="1"/>
  <c r="H33" i="1"/>
  <c r="H35" i="1"/>
  <c r="H36" i="1"/>
  <c r="H37" i="1"/>
  <c r="H38" i="1"/>
  <c r="H39" i="1"/>
  <c r="H40" i="1"/>
  <c r="H41" i="1"/>
  <c r="H42" i="1"/>
  <c r="H43" i="1"/>
  <c r="H44" i="1"/>
  <c r="H13" i="1"/>
  <c r="H14" i="1"/>
  <c r="H15" i="1"/>
  <c r="H16" i="1"/>
  <c r="H17" i="1"/>
  <c r="H18" i="1"/>
  <c r="H53" i="1"/>
  <c r="H115" i="1"/>
  <c r="H89" i="1"/>
  <c r="H90" i="1"/>
  <c r="H91" i="1"/>
  <c r="H92" i="1"/>
  <c r="H93" i="1"/>
  <c r="H67" i="1"/>
  <c r="H71" i="1"/>
  <c r="H82" i="1"/>
  <c r="H28" i="1"/>
  <c r="H29" i="1"/>
  <c r="H106" i="1"/>
  <c r="H107" i="1"/>
  <c r="H108" i="1"/>
  <c r="H109" i="1"/>
  <c r="H110" i="1"/>
  <c r="H66" i="1"/>
  <c r="H70" i="1"/>
  <c r="H81" i="1"/>
  <c r="H119" i="1"/>
  <c r="H22" i="1"/>
  <c r="H120" i="1"/>
  <c r="H23" i="1"/>
  <c r="H121" i="1"/>
  <c r="H24" i="1"/>
  <c r="H122" i="1"/>
  <c r="H20" i="1"/>
  <c r="H25" i="1"/>
  <c r="H26" i="1"/>
  <c r="H27" i="1"/>
  <c r="H124" i="1"/>
  <c r="H125" i="1"/>
  <c r="H126" i="1"/>
  <c r="H103" i="1"/>
  <c r="H21" i="1"/>
  <c r="H104" i="1"/>
  <c r="H105" i="1"/>
  <c r="H127" i="1"/>
  <c r="H113" i="1"/>
  <c r="H116" i="1"/>
  <c r="H94" i="1"/>
  <c r="H95" i="1"/>
  <c r="H96" i="1"/>
  <c r="H97" i="1"/>
  <c r="H98" i="1"/>
  <c r="H99" i="1"/>
  <c r="H100" i="1"/>
  <c r="H101" i="1"/>
  <c r="H102" i="1"/>
  <c r="H117" i="1"/>
  <c r="H118" i="1"/>
  <c r="H111" i="1"/>
  <c r="H112" i="1"/>
  <c r="H61" i="1"/>
  <c r="H62" i="1"/>
  <c r="H63" i="1"/>
  <c r="H64" i="1"/>
  <c r="H65" i="1"/>
  <c r="H68" i="1"/>
  <c r="H69" i="1"/>
  <c r="H72" i="1"/>
  <c r="H73" i="1"/>
  <c r="H74" i="1"/>
  <c r="H75" i="1"/>
  <c r="H76" i="1"/>
  <c r="H77" i="1"/>
  <c r="H78" i="1"/>
  <c r="H79" i="1"/>
  <c r="H80" i="1"/>
  <c r="H83" i="1"/>
  <c r="H84" i="1"/>
  <c r="H85" i="1"/>
  <c r="H86" i="1"/>
  <c r="H87" i="1"/>
  <c r="H88" i="1"/>
  <c r="H30" i="1"/>
  <c r="H31" i="1"/>
  <c r="H32" i="1"/>
  <c r="H34" i="1"/>
  <c r="H45" i="1"/>
  <c r="H46" i="1"/>
  <c r="H47" i="1"/>
  <c r="H48" i="1"/>
  <c r="H49" i="1"/>
  <c r="H50" i="1"/>
  <c r="H128" i="1"/>
  <c r="H129" i="1"/>
  <c r="H130" i="1"/>
  <c r="H131" i="1"/>
  <c r="H114" i="1"/>
</calcChain>
</file>

<file path=xl/sharedStrings.xml><?xml version="1.0" encoding="utf-8"?>
<sst xmlns="http://schemas.openxmlformats.org/spreadsheetml/2006/main" count="737" uniqueCount="288">
  <si>
    <t>356Z/6</t>
  </si>
  <si>
    <t>356Z/7</t>
  </si>
  <si>
    <t>360K/15</t>
  </si>
  <si>
    <t>360K/3</t>
  </si>
  <si>
    <t>360K/30</t>
  </si>
  <si>
    <t>360k/38</t>
  </si>
  <si>
    <t>360K/4</t>
  </si>
  <si>
    <t>600F/53</t>
  </si>
  <si>
    <t>600F/66</t>
  </si>
  <si>
    <t>600F/80</t>
  </si>
  <si>
    <t>Schedule</t>
  </si>
  <si>
    <t>Route Length</t>
  </si>
  <si>
    <t xml:space="preserve">No of Rest </t>
  </si>
  <si>
    <t>Cum time</t>
  </si>
  <si>
    <t>360K/38</t>
  </si>
  <si>
    <t>Shift</t>
  </si>
  <si>
    <t>Shift B</t>
  </si>
  <si>
    <t>Shift A</t>
  </si>
  <si>
    <t>328H/1</t>
  </si>
  <si>
    <t>328H/10</t>
  </si>
  <si>
    <t>328H/12</t>
  </si>
  <si>
    <t>328H/13</t>
  </si>
  <si>
    <t>328H/14</t>
  </si>
  <si>
    <t>328H/16</t>
  </si>
  <si>
    <t>328H/19</t>
  </si>
  <si>
    <t>328H/2</t>
  </si>
  <si>
    <t>328H/20</t>
  </si>
  <si>
    <t>328H/21</t>
  </si>
  <si>
    <t>328H/22</t>
  </si>
  <si>
    <t>328H/23</t>
  </si>
  <si>
    <t>328H/25</t>
  </si>
  <si>
    <t>328H/28</t>
  </si>
  <si>
    <t>328H/3</t>
  </si>
  <si>
    <t>328H/4</t>
  </si>
  <si>
    <t>328H/6</t>
  </si>
  <si>
    <t>328H/7</t>
  </si>
  <si>
    <t>328H/8</t>
  </si>
  <si>
    <t>328H/9</t>
  </si>
  <si>
    <t>356Z/3</t>
  </si>
  <si>
    <t>356Z/8</t>
  </si>
  <si>
    <t>361C/1</t>
  </si>
  <si>
    <t>361C/11</t>
  </si>
  <si>
    <t>361C/2</t>
  </si>
  <si>
    <t>361C/3</t>
  </si>
  <si>
    <t>361C/4</t>
  </si>
  <si>
    <t>361C/6</t>
  </si>
  <si>
    <t>361C/7</t>
  </si>
  <si>
    <t>361C/8</t>
  </si>
  <si>
    <t>361C/9</t>
  </si>
  <si>
    <t>399C/3</t>
  </si>
  <si>
    <t>399C/4</t>
  </si>
  <si>
    <t>399C/5</t>
  </si>
  <si>
    <t>399C/6</t>
  </si>
  <si>
    <t>600F/32</t>
  </si>
  <si>
    <t>600F/49</t>
  </si>
  <si>
    <t>600F/5</t>
  </si>
  <si>
    <t>600F/51</t>
  </si>
  <si>
    <t>600F/52</t>
  </si>
  <si>
    <t>600F/57</t>
  </si>
  <si>
    <t>600F/6</t>
  </si>
  <si>
    <t>600F/67</t>
  </si>
  <si>
    <t>600F/68</t>
  </si>
  <si>
    <t>600F/69</t>
  </si>
  <si>
    <t>600F/72</t>
  </si>
  <si>
    <t>600F/74</t>
  </si>
  <si>
    <t>600F/75</t>
  </si>
  <si>
    <t>600F/78</t>
  </si>
  <si>
    <t>600F/79</t>
  </si>
  <si>
    <t>600F/8</t>
  </si>
  <si>
    <t>600F/81</t>
  </si>
  <si>
    <t>600F/91</t>
  </si>
  <si>
    <t>600F/92</t>
  </si>
  <si>
    <t>600F/93</t>
  </si>
  <si>
    <t>600F/94</t>
  </si>
  <si>
    <t>600F/95</t>
  </si>
  <si>
    <t>KBS3A/2</t>
  </si>
  <si>
    <t>KBS3A/20</t>
  </si>
  <si>
    <t>KBS3A/23</t>
  </si>
  <si>
    <t>KBS3A/26</t>
  </si>
  <si>
    <t>KBS3A/77</t>
  </si>
  <si>
    <t>KBS3A/78</t>
  </si>
  <si>
    <t>KBS3A/79</t>
  </si>
  <si>
    <t>KBS3A/8</t>
  </si>
  <si>
    <t>KBS3A/80</t>
  </si>
  <si>
    <t>KBS3A/9</t>
  </si>
  <si>
    <t>KBS3F/15</t>
  </si>
  <si>
    <t>KBS3F/16</t>
  </si>
  <si>
    <t>KBS3F/17</t>
  </si>
  <si>
    <t>KBS3F/18</t>
  </si>
  <si>
    <t>Charging occ</t>
  </si>
  <si>
    <t>Night Halt</t>
  </si>
  <si>
    <t>360K/10</t>
  </si>
  <si>
    <t>360K/11</t>
  </si>
  <si>
    <t>360K/12</t>
  </si>
  <si>
    <t>360K/20</t>
  </si>
  <si>
    <t>360K/26</t>
  </si>
  <si>
    <t>360K/33</t>
  </si>
  <si>
    <t>360K/34</t>
  </si>
  <si>
    <t>360K/5</t>
  </si>
  <si>
    <t>500DC/12</t>
  </si>
  <si>
    <t>500DC/13</t>
  </si>
  <si>
    <t>500DC/14</t>
  </si>
  <si>
    <t>500DC/15</t>
  </si>
  <si>
    <t>600F/16</t>
  </si>
  <si>
    <t>600F/17</t>
  </si>
  <si>
    <t>600F/21</t>
  </si>
  <si>
    <t>600F/26</t>
  </si>
  <si>
    <t>600F/27</t>
  </si>
  <si>
    <t>600F/3</t>
  </si>
  <si>
    <t>600F/31</t>
  </si>
  <si>
    <t>600F/42</t>
  </si>
  <si>
    <t>600F/43</t>
  </si>
  <si>
    <t>600F/45</t>
  </si>
  <si>
    <t>KBS3A/25</t>
  </si>
  <si>
    <t>KBS3A/32</t>
  </si>
  <si>
    <t>KBS3A/34</t>
  </si>
  <si>
    <t>KBS3A/35</t>
  </si>
  <si>
    <t>KBS3A/36</t>
  </si>
  <si>
    <t>KBS3A/40</t>
  </si>
  <si>
    <t>KBS3A/43</t>
  </si>
  <si>
    <t>KBS3A/46</t>
  </si>
  <si>
    <t>KBS3A/61</t>
  </si>
  <si>
    <t>KBS3A/66</t>
  </si>
  <si>
    <t>KBS3A/73</t>
  </si>
  <si>
    <t>KBS3F/11</t>
  </si>
  <si>
    <t>KBS3F/12</t>
  </si>
  <si>
    <t>KBS3F/13</t>
  </si>
  <si>
    <t>KBS3F/14</t>
  </si>
  <si>
    <t>KBS3F/7</t>
  </si>
  <si>
    <t>KBS3F/8</t>
  </si>
  <si>
    <t>General shift</t>
  </si>
  <si>
    <t>Route length /schedule</t>
  </si>
  <si>
    <t>Moderate</t>
  </si>
  <si>
    <t>To be check the actual form 4</t>
  </si>
  <si>
    <t>Complex</t>
  </si>
  <si>
    <t>Standard</t>
  </si>
  <si>
    <t>Single charge Operation required as per form 4</t>
  </si>
  <si>
    <t>2 rest stop Attibele &amp; HSK(65.7 km at HSK)</t>
  </si>
  <si>
    <t>1 rest stoop at HSK 65.7</t>
  </si>
  <si>
    <t>1 rest stoop at HSK 52.3</t>
  </si>
  <si>
    <t>Chandapura to Anekal 12trips</t>
  </si>
  <si>
    <t>51.4 km Rest stop at KMT</t>
  </si>
  <si>
    <t>Annekal way is chandapura(D32)</t>
  </si>
  <si>
    <t>Rest stop at Annekal at 65.9 km</t>
  </si>
  <si>
    <t>Rest stop after 100.4 KBS</t>
  </si>
  <si>
    <t>Rest stop at ATB 68 km</t>
  </si>
  <si>
    <t>Rest Stop After 80 km at ATB</t>
  </si>
  <si>
    <t>Rest stop ATB 66.2 km</t>
  </si>
  <si>
    <t>Rest stop after 80 at Banashankari</t>
  </si>
  <si>
    <t>Rest stop at 30 km Annekal</t>
  </si>
  <si>
    <t>Change the rest stop to Chandapura</t>
  </si>
  <si>
    <t>102 km rest stop in KBS</t>
  </si>
  <si>
    <t>Rest stop after 68 at CPR</t>
  </si>
  <si>
    <t>rest stop after 90 KBS</t>
  </si>
  <si>
    <t>Rest stop after 96 at Banashankari</t>
  </si>
  <si>
    <t>Remarks</t>
  </si>
  <si>
    <t>No chargeing occ/schedule</t>
  </si>
  <si>
    <t>Category</t>
  </si>
  <si>
    <t>sl no</t>
  </si>
  <si>
    <t>Row Labels</t>
  </si>
  <si>
    <t>Actual range final</t>
  </si>
  <si>
    <t>BM221</t>
  </si>
  <si>
    <t>C</t>
  </si>
  <si>
    <t>BM304</t>
  </si>
  <si>
    <t>BM088</t>
  </si>
  <si>
    <t>BM057</t>
  </si>
  <si>
    <t>BM224</t>
  </si>
  <si>
    <t>BM218</t>
  </si>
  <si>
    <t>BM296</t>
  </si>
  <si>
    <t>BM082</t>
  </si>
  <si>
    <t>BM012</t>
  </si>
  <si>
    <t>BM225</t>
  </si>
  <si>
    <t>BM260</t>
  </si>
  <si>
    <t>BM288</t>
  </si>
  <si>
    <t>BM005</t>
  </si>
  <si>
    <t>BM185</t>
  </si>
  <si>
    <t>BM032</t>
  </si>
  <si>
    <t>BM068</t>
  </si>
  <si>
    <t>BM004</t>
  </si>
  <si>
    <t>BM024</t>
  </si>
  <si>
    <t>BM261</t>
  </si>
  <si>
    <t>BM227</t>
  </si>
  <si>
    <t>BM002</t>
  </si>
  <si>
    <t>BM119</t>
  </si>
  <si>
    <t>BM208</t>
  </si>
  <si>
    <t>B</t>
  </si>
  <si>
    <t>BM204</t>
  </si>
  <si>
    <t>BM038</t>
  </si>
  <si>
    <t>BM001</t>
  </si>
  <si>
    <t>BM010</t>
  </si>
  <si>
    <t>BM298</t>
  </si>
  <si>
    <t>BM238</t>
  </si>
  <si>
    <t>BM003</t>
  </si>
  <si>
    <t>BM265</t>
  </si>
  <si>
    <t>BM283</t>
  </si>
  <si>
    <t>BM086</t>
  </si>
  <si>
    <t>BM081</t>
  </si>
  <si>
    <t>BM285</t>
  </si>
  <si>
    <t>BM116</t>
  </si>
  <si>
    <t>BM257</t>
  </si>
  <si>
    <t>BM205</t>
  </si>
  <si>
    <t>BM183</t>
  </si>
  <si>
    <t>BM062</t>
  </si>
  <si>
    <t>BM259</t>
  </si>
  <si>
    <t>BM075</t>
  </si>
  <si>
    <t>BM212</t>
  </si>
  <si>
    <t>BM213</t>
  </si>
  <si>
    <t>BM245</t>
  </si>
  <si>
    <t>BM289</t>
  </si>
  <si>
    <t>BM271</t>
  </si>
  <si>
    <t>BM207</t>
  </si>
  <si>
    <t>BM200</t>
  </si>
  <si>
    <t>BM290</t>
  </si>
  <si>
    <t>BM210</t>
  </si>
  <si>
    <t>BM157</t>
  </si>
  <si>
    <t>BM300</t>
  </si>
  <si>
    <t>BM199</t>
  </si>
  <si>
    <t>BM191</t>
  </si>
  <si>
    <t>BM058</t>
  </si>
  <si>
    <t>BM278</t>
  </si>
  <si>
    <t>BM292</t>
  </si>
  <si>
    <t>BM202</t>
  </si>
  <si>
    <t>BM220</t>
  </si>
  <si>
    <t>BM267</t>
  </si>
  <si>
    <t>BM217</t>
  </si>
  <si>
    <t>BM174</t>
  </si>
  <si>
    <t>BM020</t>
  </si>
  <si>
    <t>BM153</t>
  </si>
  <si>
    <t>BM277</t>
  </si>
  <si>
    <t>BM291</t>
  </si>
  <si>
    <t>BM151</t>
  </si>
  <si>
    <t>BM295</t>
  </si>
  <si>
    <t>BM033</t>
  </si>
  <si>
    <t>BM124</t>
  </si>
  <si>
    <t>BM275</t>
  </si>
  <si>
    <t>BM216</t>
  </si>
  <si>
    <t>BM052</t>
  </si>
  <si>
    <t>BM054</t>
  </si>
  <si>
    <t>BM215</t>
  </si>
  <si>
    <t>BM219</t>
  </si>
  <si>
    <t>BM198</t>
  </si>
  <si>
    <t>BM222</t>
  </si>
  <si>
    <t>BM269</t>
  </si>
  <si>
    <t>BM187</t>
  </si>
  <si>
    <t>BM019</t>
  </si>
  <si>
    <t>A</t>
  </si>
  <si>
    <t>BM201</t>
  </si>
  <si>
    <t>BM206</t>
  </si>
  <si>
    <t>BM294</t>
  </si>
  <si>
    <t>BM287</t>
  </si>
  <si>
    <t>BM107</t>
  </si>
  <si>
    <t>BM209</t>
  </si>
  <si>
    <t>BM080</t>
  </si>
  <si>
    <t>BM268</t>
  </si>
  <si>
    <t>BM240</t>
  </si>
  <si>
    <t>BM255</t>
  </si>
  <si>
    <t>BM276</t>
  </si>
  <si>
    <t>BM303</t>
  </si>
  <si>
    <t>BM152</t>
  </si>
  <si>
    <t>BM281</t>
  </si>
  <si>
    <t>BM274</t>
  </si>
  <si>
    <t>BM253</t>
  </si>
  <si>
    <t>BM263</t>
  </si>
  <si>
    <t>BM279</t>
  </si>
  <si>
    <t>BM249</t>
  </si>
  <si>
    <t>BM286</t>
  </si>
  <si>
    <t>BM193</t>
  </si>
  <si>
    <t>BM056</t>
  </si>
  <si>
    <t>BM297</t>
  </si>
  <si>
    <t>BM214</t>
  </si>
  <si>
    <t>BM250</t>
  </si>
  <si>
    <t>BM197</t>
  </si>
  <si>
    <t>BM284</t>
  </si>
  <si>
    <t>BM258</t>
  </si>
  <si>
    <t>BM280</t>
  </si>
  <si>
    <t>BM203</t>
  </si>
  <si>
    <t>BM272</t>
  </si>
  <si>
    <t>BM256</t>
  </si>
  <si>
    <t>BM282</t>
  </si>
  <si>
    <t>BM248</t>
  </si>
  <si>
    <t>BM293</t>
  </si>
  <si>
    <t>BM299</t>
  </si>
  <si>
    <t>BM264</t>
  </si>
  <si>
    <t>BM223</t>
  </si>
  <si>
    <t>BM239</t>
  </si>
  <si>
    <t>BM273</t>
  </si>
  <si>
    <t>Dead km</t>
  </si>
  <si>
    <t>Actual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</si>
</sst>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8D1-E01B-4F16-80D9-444A260C538F}">
  <dimension ref="A1:N132"/>
  <sheetViews>
    <sheetView tabSelected="1" workbookViewId="0">
      <selection activeCell="K4" sqref="K4"/>
    </sheetView>
  </sheetViews>
  <sheetFormatPr defaultRowHeight="14.5" x14ac:dyDescent="0.35"/>
  <cols>
    <col min="1" max="1" width="11.453125" bestFit="1" customWidth="1"/>
    <col min="2" max="2" width="10.54296875" bestFit="1" customWidth="1"/>
    <col min="3" max="3" width="14" bestFit="1" customWidth="1"/>
    <col min="4" max="4" width="12.08984375" bestFit="1" customWidth="1"/>
    <col min="5" max="5" width="11.08984375" bestFit="1" customWidth="1"/>
    <col min="6" max="6" width="13.54296875" bestFit="1" customWidth="1"/>
    <col min="7" max="7" width="13.54296875" customWidth="1"/>
    <col min="12" max="12" width="16.453125" bestFit="1" customWidth="1"/>
    <col min="13" max="13" width="36" bestFit="1" customWidth="1"/>
    <col min="14" max="14" width="31.26953125" bestFit="1" customWidth="1"/>
  </cols>
  <sheetData>
    <row r="1" spans="1:14" s="6" customFormat="1" ht="101.5" x14ac:dyDescent="0.35">
      <c r="A1" s="4" t="s">
        <v>15</v>
      </c>
      <c r="B1" s="4" t="s">
        <v>10</v>
      </c>
      <c r="C1" s="4" t="s">
        <v>11</v>
      </c>
      <c r="D1" s="4" t="s">
        <v>12</v>
      </c>
      <c r="E1" s="5" t="s">
        <v>13</v>
      </c>
      <c r="F1" s="4" t="s">
        <v>89</v>
      </c>
      <c r="G1" s="4" t="s">
        <v>156</v>
      </c>
      <c r="H1" s="7" t="s">
        <v>131</v>
      </c>
      <c r="I1" s="7" t="s">
        <v>286</v>
      </c>
      <c r="J1" s="7" t="s">
        <v>287</v>
      </c>
      <c r="K1" s="7" t="s">
        <v>136</v>
      </c>
      <c r="L1" s="7" t="s">
        <v>157</v>
      </c>
      <c r="M1" s="4" t="s">
        <v>155</v>
      </c>
      <c r="N1" s="4"/>
    </row>
    <row r="2" spans="1:14" x14ac:dyDescent="0.35">
      <c r="A2" s="2" t="s">
        <v>130</v>
      </c>
      <c r="B2" s="2" t="s">
        <v>101</v>
      </c>
      <c r="C2" s="2">
        <v>171.4</v>
      </c>
      <c r="D2" s="2">
        <v>1</v>
      </c>
      <c r="E2" s="3">
        <v>0.43749999999999994</v>
      </c>
      <c r="F2" s="2">
        <v>1</v>
      </c>
      <c r="G2" s="2">
        <f>F2</f>
        <v>1</v>
      </c>
      <c r="H2" s="2">
        <f>C2</f>
        <v>171.4</v>
      </c>
      <c r="I2" s="2">
        <f>H2*0.1</f>
        <v>17.14</v>
      </c>
      <c r="J2" s="2">
        <f>I2+H2</f>
        <v>188.54000000000002</v>
      </c>
      <c r="K2" s="2">
        <v>91.9</v>
      </c>
      <c r="L2" s="2" t="s">
        <v>135</v>
      </c>
      <c r="M2" s="2"/>
      <c r="N2" s="2"/>
    </row>
    <row r="3" spans="1:14" x14ac:dyDescent="0.35">
      <c r="A3" s="2" t="s">
        <v>130</v>
      </c>
      <c r="B3" s="2" t="s">
        <v>102</v>
      </c>
      <c r="C3" s="2">
        <v>171.4</v>
      </c>
      <c r="D3" s="2">
        <v>1</v>
      </c>
      <c r="E3" s="3">
        <v>0.4375</v>
      </c>
      <c r="F3" s="2">
        <v>1</v>
      </c>
      <c r="G3" s="2">
        <f t="shared" ref="G3:G66" si="0">F3</f>
        <v>1</v>
      </c>
      <c r="H3" s="2">
        <f>C3</f>
        <v>171.4</v>
      </c>
      <c r="I3" s="2">
        <f t="shared" ref="I3:I66" si="1">H3*0.1</f>
        <v>17.14</v>
      </c>
      <c r="J3" s="2">
        <f t="shared" ref="J3:J66" si="2">I3+H3</f>
        <v>188.54000000000002</v>
      </c>
      <c r="K3" s="2">
        <v>91.9</v>
      </c>
      <c r="L3" s="2" t="s">
        <v>135</v>
      </c>
      <c r="M3" s="2"/>
      <c r="N3" s="2"/>
    </row>
    <row r="4" spans="1:14" x14ac:dyDescent="0.35">
      <c r="A4" s="2" t="s">
        <v>130</v>
      </c>
      <c r="B4" s="2" t="s">
        <v>103</v>
      </c>
      <c r="C4" s="2">
        <v>143.6</v>
      </c>
      <c r="D4" s="2">
        <v>1</v>
      </c>
      <c r="E4" s="3">
        <v>0.40625</v>
      </c>
      <c r="F4" s="2"/>
      <c r="G4" s="2">
        <f t="shared" si="0"/>
        <v>0</v>
      </c>
      <c r="H4" s="2">
        <f>C4</f>
        <v>143.6</v>
      </c>
      <c r="I4" s="2">
        <f t="shared" si="1"/>
        <v>14.36</v>
      </c>
      <c r="J4" s="2">
        <f t="shared" si="2"/>
        <v>157.95999999999998</v>
      </c>
      <c r="K4" s="2">
        <v>100.6</v>
      </c>
      <c r="L4" s="2" t="s">
        <v>135</v>
      </c>
      <c r="M4" s="2"/>
      <c r="N4" s="2"/>
    </row>
    <row r="5" spans="1:14" x14ac:dyDescent="0.35">
      <c r="A5" s="2" t="s">
        <v>130</v>
      </c>
      <c r="B5" s="2" t="s">
        <v>104</v>
      </c>
      <c r="C5" s="2">
        <v>143.6</v>
      </c>
      <c r="D5" s="2">
        <v>1</v>
      </c>
      <c r="E5" s="3">
        <v>0.39930555555555541</v>
      </c>
      <c r="F5" s="2"/>
      <c r="G5" s="2">
        <f t="shared" si="0"/>
        <v>0</v>
      </c>
      <c r="H5" s="2">
        <f>C5</f>
        <v>143.6</v>
      </c>
      <c r="I5" s="2">
        <f t="shared" si="1"/>
        <v>14.36</v>
      </c>
      <c r="J5" s="2">
        <f t="shared" si="2"/>
        <v>157.95999999999998</v>
      </c>
      <c r="K5" s="2">
        <v>100.6</v>
      </c>
      <c r="L5" s="2" t="s">
        <v>135</v>
      </c>
      <c r="M5" s="2"/>
      <c r="N5" s="2"/>
    </row>
    <row r="6" spans="1:14" x14ac:dyDescent="0.35">
      <c r="A6" s="2" t="s">
        <v>130</v>
      </c>
      <c r="B6" s="2" t="s">
        <v>105</v>
      </c>
      <c r="C6" s="2">
        <v>143.6</v>
      </c>
      <c r="D6" s="2">
        <v>1</v>
      </c>
      <c r="E6" s="3">
        <v>0.39930555555555558</v>
      </c>
      <c r="F6" s="2"/>
      <c r="G6" s="2">
        <f t="shared" si="0"/>
        <v>0</v>
      </c>
      <c r="H6" s="2">
        <f>C6</f>
        <v>143.6</v>
      </c>
      <c r="I6" s="2">
        <f t="shared" si="1"/>
        <v>14.36</v>
      </c>
      <c r="J6" s="2">
        <f t="shared" si="2"/>
        <v>157.95999999999998</v>
      </c>
      <c r="K6" s="2">
        <v>100.6</v>
      </c>
      <c r="L6" s="2" t="s">
        <v>135</v>
      </c>
      <c r="M6" s="2"/>
      <c r="N6" s="2"/>
    </row>
    <row r="7" spans="1:14" x14ac:dyDescent="0.35">
      <c r="A7" s="2" t="s">
        <v>130</v>
      </c>
      <c r="B7" s="2" t="s">
        <v>106</v>
      </c>
      <c r="C7" s="2">
        <v>143.6</v>
      </c>
      <c r="D7" s="2">
        <v>1</v>
      </c>
      <c r="E7" s="3">
        <v>0.40624999999999994</v>
      </c>
      <c r="F7" s="2"/>
      <c r="G7" s="2">
        <f t="shared" si="0"/>
        <v>0</v>
      </c>
      <c r="H7" s="2">
        <f>C7</f>
        <v>143.6</v>
      </c>
      <c r="I7" s="2">
        <f t="shared" si="1"/>
        <v>14.36</v>
      </c>
      <c r="J7" s="2">
        <f t="shared" si="2"/>
        <v>157.95999999999998</v>
      </c>
      <c r="K7" s="2">
        <v>100.6</v>
      </c>
      <c r="L7" s="2" t="s">
        <v>135</v>
      </c>
      <c r="M7" s="2"/>
      <c r="N7" s="2"/>
    </row>
    <row r="8" spans="1:14" x14ac:dyDescent="0.35">
      <c r="A8" s="2" t="s">
        <v>130</v>
      </c>
      <c r="B8" s="2" t="s">
        <v>107</v>
      </c>
      <c r="C8" s="2">
        <v>143.6</v>
      </c>
      <c r="D8" s="2"/>
      <c r="E8" s="3">
        <v>0.39930555555555558</v>
      </c>
      <c r="F8" s="2"/>
      <c r="G8" s="2">
        <f t="shared" si="0"/>
        <v>0</v>
      </c>
      <c r="H8" s="2">
        <f>C8</f>
        <v>143.6</v>
      </c>
      <c r="I8" s="2">
        <f t="shared" si="1"/>
        <v>14.36</v>
      </c>
      <c r="J8" s="2">
        <f t="shared" si="2"/>
        <v>157.95999999999998</v>
      </c>
      <c r="K8" s="2">
        <v>100.6</v>
      </c>
      <c r="L8" s="2" t="s">
        <v>135</v>
      </c>
      <c r="M8" s="2"/>
      <c r="N8" s="2"/>
    </row>
    <row r="9" spans="1:14" x14ac:dyDescent="0.35">
      <c r="A9" s="2" t="s">
        <v>130</v>
      </c>
      <c r="B9" s="2" t="s">
        <v>108</v>
      </c>
      <c r="C9" s="2">
        <v>143.6</v>
      </c>
      <c r="D9" s="2">
        <v>1</v>
      </c>
      <c r="E9" s="3">
        <v>0.40625</v>
      </c>
      <c r="F9" s="2"/>
      <c r="G9" s="2">
        <f t="shared" si="0"/>
        <v>0</v>
      </c>
      <c r="H9" s="2">
        <f>C9</f>
        <v>143.6</v>
      </c>
      <c r="I9" s="2">
        <f t="shared" si="1"/>
        <v>14.36</v>
      </c>
      <c r="J9" s="2">
        <f t="shared" si="2"/>
        <v>157.95999999999998</v>
      </c>
      <c r="K9" s="2">
        <v>100.6</v>
      </c>
      <c r="L9" s="2" t="s">
        <v>135</v>
      </c>
      <c r="M9" s="2"/>
      <c r="N9" s="2"/>
    </row>
    <row r="10" spans="1:14" x14ac:dyDescent="0.35">
      <c r="A10" s="2" t="s">
        <v>130</v>
      </c>
      <c r="B10" s="2" t="s">
        <v>110</v>
      </c>
      <c r="C10" s="2">
        <v>143.6</v>
      </c>
      <c r="D10" s="2">
        <v>1</v>
      </c>
      <c r="E10" s="3">
        <v>0.40624999999999994</v>
      </c>
      <c r="F10" s="2"/>
      <c r="G10" s="2">
        <f t="shared" si="0"/>
        <v>0</v>
      </c>
      <c r="H10" s="2">
        <f>C10</f>
        <v>143.6</v>
      </c>
      <c r="I10" s="2">
        <f t="shared" si="1"/>
        <v>14.36</v>
      </c>
      <c r="J10" s="2">
        <f t="shared" si="2"/>
        <v>157.95999999999998</v>
      </c>
      <c r="K10" s="2">
        <v>100.6</v>
      </c>
      <c r="L10" s="2" t="s">
        <v>135</v>
      </c>
      <c r="M10" s="2"/>
      <c r="N10" s="2"/>
    </row>
    <row r="11" spans="1:14" x14ac:dyDescent="0.35">
      <c r="A11" s="2" t="s">
        <v>130</v>
      </c>
      <c r="B11" s="2" t="s">
        <v>111</v>
      </c>
      <c r="C11" s="2">
        <v>143.6</v>
      </c>
      <c r="D11" s="2">
        <v>1</v>
      </c>
      <c r="E11" s="3">
        <v>0.39930555555555552</v>
      </c>
      <c r="F11" s="2"/>
      <c r="G11" s="2">
        <f t="shared" si="0"/>
        <v>0</v>
      </c>
      <c r="H11" s="2">
        <f>C11</f>
        <v>143.6</v>
      </c>
      <c r="I11" s="2">
        <f t="shared" si="1"/>
        <v>14.36</v>
      </c>
      <c r="J11" s="2">
        <f t="shared" si="2"/>
        <v>157.95999999999998</v>
      </c>
      <c r="K11" s="2">
        <v>100.6</v>
      </c>
      <c r="L11" s="2" t="s">
        <v>135</v>
      </c>
      <c r="M11" s="2"/>
      <c r="N11" s="2"/>
    </row>
    <row r="12" spans="1:14" x14ac:dyDescent="0.35">
      <c r="A12" s="2" t="s">
        <v>130</v>
      </c>
      <c r="B12" s="2" t="s">
        <v>112</v>
      </c>
      <c r="C12" s="2">
        <v>143.6</v>
      </c>
      <c r="D12" s="2">
        <v>1</v>
      </c>
      <c r="E12" s="3">
        <v>0.40625000000000011</v>
      </c>
      <c r="F12" s="2"/>
      <c r="G12" s="2">
        <f t="shared" si="0"/>
        <v>0</v>
      </c>
      <c r="H12" s="2">
        <f>C12</f>
        <v>143.6</v>
      </c>
      <c r="I12" s="2">
        <f t="shared" si="1"/>
        <v>14.36</v>
      </c>
      <c r="J12" s="2">
        <f t="shared" si="2"/>
        <v>157.95999999999998</v>
      </c>
      <c r="K12" s="2">
        <v>100.6</v>
      </c>
      <c r="L12" s="2" t="s">
        <v>135</v>
      </c>
      <c r="M12" s="2"/>
      <c r="N12" s="2"/>
    </row>
    <row r="13" spans="1:14" x14ac:dyDescent="0.35">
      <c r="A13" s="2" t="s">
        <v>130</v>
      </c>
      <c r="B13" s="2" t="s">
        <v>124</v>
      </c>
      <c r="C13" s="2">
        <v>190.8</v>
      </c>
      <c r="D13" s="2"/>
      <c r="E13" s="3">
        <v>0.4236111111111111</v>
      </c>
      <c r="F13" s="2">
        <v>1</v>
      </c>
      <c r="G13" s="2">
        <f t="shared" si="0"/>
        <v>1</v>
      </c>
      <c r="H13" s="2">
        <f>C13</f>
        <v>190.8</v>
      </c>
      <c r="I13" s="2">
        <f t="shared" si="1"/>
        <v>19.080000000000002</v>
      </c>
      <c r="J13" s="2">
        <f t="shared" si="2"/>
        <v>209.88000000000002</v>
      </c>
      <c r="K13" s="2">
        <v>101.6</v>
      </c>
      <c r="L13" s="2" t="s">
        <v>135</v>
      </c>
      <c r="M13" s="2"/>
      <c r="N13" s="2"/>
    </row>
    <row r="14" spans="1:14" x14ac:dyDescent="0.35">
      <c r="A14" s="2" t="s">
        <v>130</v>
      </c>
      <c r="B14" s="2" t="s">
        <v>125</v>
      </c>
      <c r="C14" s="2">
        <v>190.8</v>
      </c>
      <c r="D14" s="2"/>
      <c r="E14" s="3">
        <v>0.42361111111111116</v>
      </c>
      <c r="F14" s="2">
        <v>1</v>
      </c>
      <c r="G14" s="2">
        <f t="shared" si="0"/>
        <v>1</v>
      </c>
      <c r="H14" s="2">
        <f>C14</f>
        <v>190.8</v>
      </c>
      <c r="I14" s="2">
        <f t="shared" si="1"/>
        <v>19.080000000000002</v>
      </c>
      <c r="J14" s="2">
        <f t="shared" si="2"/>
        <v>209.88000000000002</v>
      </c>
      <c r="K14" s="2">
        <v>101.6</v>
      </c>
      <c r="L14" s="2" t="s">
        <v>135</v>
      </c>
      <c r="M14" s="2"/>
      <c r="N14" s="2"/>
    </row>
    <row r="15" spans="1:14" x14ac:dyDescent="0.35">
      <c r="A15" s="2" t="s">
        <v>130</v>
      </c>
      <c r="B15" s="2" t="s">
        <v>126</v>
      </c>
      <c r="C15" s="2">
        <v>190.8</v>
      </c>
      <c r="D15" s="2"/>
      <c r="E15" s="3">
        <v>0.40625</v>
      </c>
      <c r="F15" s="2">
        <v>1</v>
      </c>
      <c r="G15" s="2">
        <f t="shared" si="0"/>
        <v>1</v>
      </c>
      <c r="H15" s="2">
        <f>C15</f>
        <v>190.8</v>
      </c>
      <c r="I15" s="2">
        <f t="shared" si="1"/>
        <v>19.080000000000002</v>
      </c>
      <c r="J15" s="2">
        <f t="shared" si="2"/>
        <v>209.88000000000002</v>
      </c>
      <c r="K15" s="2">
        <v>101.6</v>
      </c>
      <c r="L15" s="2" t="s">
        <v>135</v>
      </c>
      <c r="M15" s="2"/>
      <c r="N15" s="2"/>
    </row>
    <row r="16" spans="1:14" x14ac:dyDescent="0.35">
      <c r="A16" s="2" t="s">
        <v>130</v>
      </c>
      <c r="B16" s="2" t="s">
        <v>127</v>
      </c>
      <c r="C16" s="2">
        <v>190.8</v>
      </c>
      <c r="D16" s="2">
        <v>1</v>
      </c>
      <c r="E16" s="3">
        <v>0.42013888888888873</v>
      </c>
      <c r="F16" s="2">
        <v>1</v>
      </c>
      <c r="G16" s="2">
        <f t="shared" si="0"/>
        <v>1</v>
      </c>
      <c r="H16" s="2">
        <f>C16</f>
        <v>190.8</v>
      </c>
      <c r="I16" s="2">
        <f t="shared" si="1"/>
        <v>19.080000000000002</v>
      </c>
      <c r="J16" s="2">
        <f t="shared" si="2"/>
        <v>209.88000000000002</v>
      </c>
      <c r="K16" s="2">
        <v>101.6</v>
      </c>
      <c r="L16" s="2" t="s">
        <v>135</v>
      </c>
      <c r="M16" s="2" t="s">
        <v>133</v>
      </c>
      <c r="N16" s="2"/>
    </row>
    <row r="17" spans="1:14" x14ac:dyDescent="0.35">
      <c r="A17" s="2" t="s">
        <v>130</v>
      </c>
      <c r="B17" s="2" t="s">
        <v>128</v>
      </c>
      <c r="C17" s="2">
        <v>203.2</v>
      </c>
      <c r="D17" s="2"/>
      <c r="E17" s="3">
        <v>0.43055555555555558</v>
      </c>
      <c r="F17" s="2">
        <v>1</v>
      </c>
      <c r="G17" s="2">
        <f t="shared" si="0"/>
        <v>1</v>
      </c>
      <c r="H17" s="2">
        <f>C17</f>
        <v>203.2</v>
      </c>
      <c r="I17" s="2">
        <f t="shared" si="1"/>
        <v>20.32</v>
      </c>
      <c r="J17" s="2">
        <f t="shared" si="2"/>
        <v>223.51999999999998</v>
      </c>
      <c r="K17" s="2">
        <v>101.6</v>
      </c>
      <c r="L17" s="2" t="s">
        <v>135</v>
      </c>
      <c r="M17" s="2"/>
      <c r="N17" s="2"/>
    </row>
    <row r="18" spans="1:14" x14ac:dyDescent="0.35">
      <c r="A18" s="2" t="s">
        <v>130</v>
      </c>
      <c r="B18" s="2" t="s">
        <v>129</v>
      </c>
      <c r="C18" s="2">
        <v>190.8</v>
      </c>
      <c r="D18" s="2"/>
      <c r="E18" s="3">
        <v>0.42361111111111116</v>
      </c>
      <c r="F18" s="2">
        <v>1</v>
      </c>
      <c r="G18" s="2">
        <f t="shared" si="0"/>
        <v>1</v>
      </c>
      <c r="H18" s="2">
        <f>C18</f>
        <v>190.8</v>
      </c>
      <c r="I18" s="2">
        <f t="shared" si="1"/>
        <v>19.080000000000002</v>
      </c>
      <c r="J18" s="2">
        <f t="shared" si="2"/>
        <v>209.88000000000002</v>
      </c>
      <c r="K18" s="2">
        <v>101.6</v>
      </c>
      <c r="L18" s="2" t="s">
        <v>135</v>
      </c>
      <c r="M18" s="2"/>
      <c r="N18" s="2"/>
    </row>
    <row r="19" spans="1:14" x14ac:dyDescent="0.35">
      <c r="A19" s="2" t="s">
        <v>130</v>
      </c>
      <c r="B19" s="2" t="s">
        <v>109</v>
      </c>
      <c r="C19" s="2">
        <v>151.6</v>
      </c>
      <c r="D19" s="2">
        <v>1</v>
      </c>
      <c r="E19" s="3">
        <v>0.39930555555555564</v>
      </c>
      <c r="F19" s="2"/>
      <c r="G19" s="2">
        <f t="shared" si="0"/>
        <v>0</v>
      </c>
      <c r="H19" s="2">
        <f>C19</f>
        <v>151.6</v>
      </c>
      <c r="I19" s="2">
        <f t="shared" si="1"/>
        <v>15.16</v>
      </c>
      <c r="J19" s="2">
        <f t="shared" si="2"/>
        <v>166.76</v>
      </c>
      <c r="K19" s="2">
        <v>108.6</v>
      </c>
      <c r="L19" s="2" t="s">
        <v>132</v>
      </c>
      <c r="M19" s="2"/>
      <c r="N19" s="2"/>
    </row>
    <row r="20" spans="1:14" x14ac:dyDescent="0.35">
      <c r="A20" s="2" t="s">
        <v>90</v>
      </c>
      <c r="B20" s="2" t="s">
        <v>25</v>
      </c>
      <c r="C20" s="2">
        <v>290</v>
      </c>
      <c r="D20" s="2">
        <v>2</v>
      </c>
      <c r="E20" s="3">
        <v>0.54513888888888895</v>
      </c>
      <c r="F20" s="2">
        <v>1</v>
      </c>
      <c r="G20" s="2">
        <f t="shared" si="0"/>
        <v>1</v>
      </c>
      <c r="H20" s="2">
        <f>IF(C20&lt;150,C20,C20/2)</f>
        <v>145</v>
      </c>
      <c r="I20" s="2">
        <f t="shared" si="1"/>
        <v>14.5</v>
      </c>
      <c r="J20" s="2">
        <f t="shared" si="2"/>
        <v>159.5</v>
      </c>
      <c r="K20" s="2">
        <v>109.4</v>
      </c>
      <c r="L20" s="2" t="s">
        <v>132</v>
      </c>
      <c r="M20" s="2"/>
      <c r="N20" s="2"/>
    </row>
    <row r="21" spans="1:14" x14ac:dyDescent="0.35">
      <c r="A21" s="2" t="s">
        <v>90</v>
      </c>
      <c r="B21" s="2" t="s">
        <v>34</v>
      </c>
      <c r="C21" s="2">
        <v>290</v>
      </c>
      <c r="D21" s="2">
        <v>2</v>
      </c>
      <c r="E21" s="3">
        <v>0.55555555555555536</v>
      </c>
      <c r="F21" s="2">
        <v>1</v>
      </c>
      <c r="G21" s="2">
        <f t="shared" si="0"/>
        <v>1</v>
      </c>
      <c r="H21" s="2">
        <f>IF(C21&lt;150,C21,C21/2)</f>
        <v>145</v>
      </c>
      <c r="I21" s="2">
        <f t="shared" si="1"/>
        <v>14.5</v>
      </c>
      <c r="J21" s="2">
        <f t="shared" si="2"/>
        <v>159.5</v>
      </c>
      <c r="K21" s="2">
        <v>109.4</v>
      </c>
      <c r="L21" s="2" t="s">
        <v>132</v>
      </c>
      <c r="M21" s="2"/>
      <c r="N21" s="2"/>
    </row>
    <row r="22" spans="1:14" x14ac:dyDescent="0.35">
      <c r="A22" s="2" t="s">
        <v>90</v>
      </c>
      <c r="B22" s="2" t="s">
        <v>19</v>
      </c>
      <c r="C22" s="2">
        <v>300.60000000000002</v>
      </c>
      <c r="D22" s="2">
        <v>2</v>
      </c>
      <c r="E22" s="3">
        <v>0.57638888888888906</v>
      </c>
      <c r="F22" s="2">
        <v>2</v>
      </c>
      <c r="G22" s="2">
        <v>1</v>
      </c>
      <c r="H22" s="2">
        <f>IF(C22&lt;150,C22,C22/2)</f>
        <v>150.30000000000001</v>
      </c>
      <c r="I22" s="2">
        <f t="shared" si="1"/>
        <v>15.030000000000001</v>
      </c>
      <c r="J22" s="2">
        <f t="shared" si="2"/>
        <v>165.33</v>
      </c>
      <c r="K22" s="2">
        <v>110</v>
      </c>
      <c r="L22" s="2" t="s">
        <v>132</v>
      </c>
      <c r="M22" s="2"/>
      <c r="N22" s="2"/>
    </row>
    <row r="23" spans="1:14" x14ac:dyDescent="0.35">
      <c r="A23" s="2" t="s">
        <v>90</v>
      </c>
      <c r="B23" s="2" t="s">
        <v>21</v>
      </c>
      <c r="C23" s="2">
        <v>298.8</v>
      </c>
      <c r="D23" s="2">
        <v>1</v>
      </c>
      <c r="E23" s="3">
        <v>0.57638888888888884</v>
      </c>
      <c r="F23" s="2">
        <v>1</v>
      </c>
      <c r="G23" s="2">
        <f t="shared" si="0"/>
        <v>1</v>
      </c>
      <c r="H23" s="2">
        <f>IF(C23&lt;150,C23,C23/2)</f>
        <v>149.4</v>
      </c>
      <c r="I23" s="2">
        <f t="shared" si="1"/>
        <v>14.940000000000001</v>
      </c>
      <c r="J23" s="2">
        <f t="shared" si="2"/>
        <v>164.34</v>
      </c>
      <c r="K23" s="2">
        <v>110</v>
      </c>
      <c r="L23" s="2" t="s">
        <v>132</v>
      </c>
      <c r="M23" s="2"/>
      <c r="N23" s="2" t="s">
        <v>150</v>
      </c>
    </row>
    <row r="24" spans="1:14" x14ac:dyDescent="0.35">
      <c r="A24" s="2" t="s">
        <v>90</v>
      </c>
      <c r="B24" s="2" t="s">
        <v>23</v>
      </c>
      <c r="C24" s="2">
        <v>300.60000000000002</v>
      </c>
      <c r="D24" s="2">
        <v>1</v>
      </c>
      <c r="E24" s="3">
        <v>0.60763888888888906</v>
      </c>
      <c r="F24" s="2">
        <v>2</v>
      </c>
      <c r="G24" s="2">
        <v>1</v>
      </c>
      <c r="H24" s="2">
        <f>IF(C24&lt;150,C24,C24/2)</f>
        <v>150.30000000000001</v>
      </c>
      <c r="I24" s="2">
        <f t="shared" si="1"/>
        <v>15.030000000000001</v>
      </c>
      <c r="J24" s="2">
        <f t="shared" si="2"/>
        <v>165.33</v>
      </c>
      <c r="K24" s="2">
        <v>110</v>
      </c>
      <c r="L24" s="2" t="s">
        <v>132</v>
      </c>
      <c r="M24" s="2"/>
      <c r="N24" s="2"/>
    </row>
    <row r="25" spans="1:14" x14ac:dyDescent="0.35">
      <c r="A25" s="2" t="s">
        <v>90</v>
      </c>
      <c r="B25" s="2" t="s">
        <v>26</v>
      </c>
      <c r="C25" s="2">
        <v>298.8</v>
      </c>
      <c r="D25" s="2">
        <v>2</v>
      </c>
      <c r="E25" s="3">
        <v>0.57986111111111116</v>
      </c>
      <c r="F25" s="2">
        <v>1</v>
      </c>
      <c r="G25" s="2">
        <f t="shared" si="0"/>
        <v>1</v>
      </c>
      <c r="H25" s="2">
        <f>IF(C25&lt;150,C25,C25/2)</f>
        <v>149.4</v>
      </c>
      <c r="I25" s="2">
        <f t="shared" si="1"/>
        <v>14.940000000000001</v>
      </c>
      <c r="J25" s="2">
        <f t="shared" si="2"/>
        <v>164.34</v>
      </c>
      <c r="K25" s="2">
        <v>110</v>
      </c>
      <c r="L25" s="2" t="s">
        <v>132</v>
      </c>
      <c r="M25" s="2"/>
      <c r="N25" s="2" t="s">
        <v>150</v>
      </c>
    </row>
    <row r="26" spans="1:14" x14ac:dyDescent="0.35">
      <c r="A26" s="2" t="s">
        <v>90</v>
      </c>
      <c r="B26" s="2" t="s">
        <v>28</v>
      </c>
      <c r="C26" s="2">
        <v>300.60000000000002</v>
      </c>
      <c r="D26" s="2">
        <v>1</v>
      </c>
      <c r="E26" s="3">
        <v>0.61458333333333348</v>
      </c>
      <c r="F26" s="2">
        <v>2</v>
      </c>
      <c r="G26" s="2">
        <v>1</v>
      </c>
      <c r="H26" s="2">
        <f>IF(C26&lt;150,C26,C26/2)</f>
        <v>150.30000000000001</v>
      </c>
      <c r="I26" s="2">
        <f t="shared" si="1"/>
        <v>15.030000000000001</v>
      </c>
      <c r="J26" s="2">
        <f t="shared" si="2"/>
        <v>165.33</v>
      </c>
      <c r="K26" s="2">
        <v>110</v>
      </c>
      <c r="L26" s="2" t="s">
        <v>132</v>
      </c>
      <c r="M26" s="2"/>
      <c r="N26" s="2"/>
    </row>
    <row r="27" spans="1:14" x14ac:dyDescent="0.35">
      <c r="A27" s="2" t="s">
        <v>90</v>
      </c>
      <c r="B27" s="2" t="s">
        <v>29</v>
      </c>
      <c r="C27" s="2">
        <v>300.60000000000002</v>
      </c>
      <c r="D27" s="2">
        <v>2</v>
      </c>
      <c r="E27" s="3">
        <v>0.53125</v>
      </c>
      <c r="F27" s="2">
        <v>2</v>
      </c>
      <c r="G27" s="2">
        <v>1</v>
      </c>
      <c r="H27" s="2">
        <f>IF(C27&lt;150,C27,C27/2)</f>
        <v>150.30000000000001</v>
      </c>
      <c r="I27" s="2">
        <f t="shared" si="1"/>
        <v>15.030000000000001</v>
      </c>
      <c r="J27" s="2">
        <f t="shared" si="2"/>
        <v>165.33</v>
      </c>
      <c r="K27" s="2">
        <v>110</v>
      </c>
      <c r="L27" s="2" t="s">
        <v>132</v>
      </c>
      <c r="M27" s="2"/>
      <c r="N27" s="2"/>
    </row>
    <row r="28" spans="1:14" x14ac:dyDescent="0.35">
      <c r="A28" s="2" t="s">
        <v>17</v>
      </c>
      <c r="B28" s="2" t="s">
        <v>0</v>
      </c>
      <c r="C28" s="2">
        <v>114.8</v>
      </c>
      <c r="D28" s="2">
        <v>1</v>
      </c>
      <c r="E28" s="3">
        <v>0.22916666666666669</v>
      </c>
      <c r="F28" s="2"/>
      <c r="G28" s="2">
        <f t="shared" si="0"/>
        <v>0</v>
      </c>
      <c r="H28" s="2">
        <f>IF(C28&lt;150,C28,C28/2)</f>
        <v>114.8</v>
      </c>
      <c r="I28" s="2">
        <f t="shared" si="1"/>
        <v>11.48</v>
      </c>
      <c r="J28" s="2">
        <f t="shared" si="2"/>
        <v>126.28</v>
      </c>
      <c r="K28" s="2">
        <v>114.8</v>
      </c>
      <c r="L28" s="2" t="s">
        <v>132</v>
      </c>
      <c r="M28" s="2" t="s">
        <v>149</v>
      </c>
      <c r="N28" s="2"/>
    </row>
    <row r="29" spans="1:14" x14ac:dyDescent="0.35">
      <c r="A29" s="2" t="s">
        <v>17</v>
      </c>
      <c r="B29" s="2" t="s">
        <v>1</v>
      </c>
      <c r="C29" s="2">
        <v>114.8</v>
      </c>
      <c r="D29" s="2">
        <v>1</v>
      </c>
      <c r="E29" s="3">
        <v>0.26388888888888895</v>
      </c>
      <c r="F29" s="2"/>
      <c r="G29" s="2">
        <f t="shared" si="0"/>
        <v>0</v>
      </c>
      <c r="H29" s="2">
        <f>IF(C29&lt;150,C29,C29/2)</f>
        <v>114.8</v>
      </c>
      <c r="I29" s="2">
        <f t="shared" si="1"/>
        <v>11.48</v>
      </c>
      <c r="J29" s="2">
        <f t="shared" si="2"/>
        <v>126.28</v>
      </c>
      <c r="K29" s="2">
        <v>114.8</v>
      </c>
      <c r="L29" s="2" t="s">
        <v>132</v>
      </c>
      <c r="M29" s="2" t="s">
        <v>149</v>
      </c>
      <c r="N29" s="2"/>
    </row>
    <row r="30" spans="1:14" x14ac:dyDescent="0.35">
      <c r="A30" s="2" t="s">
        <v>90</v>
      </c>
      <c r="B30" s="2" t="s">
        <v>75</v>
      </c>
      <c r="C30" s="2">
        <v>231.8</v>
      </c>
      <c r="D30" s="2">
        <v>2</v>
      </c>
      <c r="E30" s="3">
        <v>0.5277777777777779</v>
      </c>
      <c r="F30" s="2"/>
      <c r="G30" s="2">
        <f t="shared" si="0"/>
        <v>0</v>
      </c>
      <c r="H30" s="2">
        <f>IF(C30&lt;150,C30,C30/2)</f>
        <v>115.9</v>
      </c>
      <c r="I30" s="2">
        <f t="shared" si="1"/>
        <v>11.590000000000002</v>
      </c>
      <c r="J30" s="2">
        <f t="shared" si="2"/>
        <v>127.49000000000001</v>
      </c>
      <c r="K30" s="2">
        <v>115.9</v>
      </c>
      <c r="L30" s="2" t="s">
        <v>132</v>
      </c>
      <c r="M30" s="2" t="s">
        <v>146</v>
      </c>
      <c r="N30" s="2"/>
    </row>
    <row r="31" spans="1:14" x14ac:dyDescent="0.35">
      <c r="A31" s="2" t="s">
        <v>90</v>
      </c>
      <c r="B31" s="2" t="s">
        <v>76</v>
      </c>
      <c r="C31" s="2">
        <v>231.8</v>
      </c>
      <c r="D31" s="2">
        <v>2</v>
      </c>
      <c r="E31" s="3">
        <v>0.5277777777777779</v>
      </c>
      <c r="F31" s="2"/>
      <c r="G31" s="2">
        <f t="shared" si="0"/>
        <v>0</v>
      </c>
      <c r="H31" s="2">
        <f>IF(C31&lt;150,C31,C31/2)</f>
        <v>115.9</v>
      </c>
      <c r="I31" s="2">
        <f t="shared" si="1"/>
        <v>11.590000000000002</v>
      </c>
      <c r="J31" s="2">
        <f t="shared" si="2"/>
        <v>127.49000000000001</v>
      </c>
      <c r="K31" s="2">
        <v>115.9</v>
      </c>
      <c r="L31" s="2" t="s">
        <v>132</v>
      </c>
      <c r="M31" s="2" t="s">
        <v>146</v>
      </c>
      <c r="N31" s="2"/>
    </row>
    <row r="32" spans="1:14" x14ac:dyDescent="0.35">
      <c r="A32" s="2" t="s">
        <v>90</v>
      </c>
      <c r="B32" s="2" t="s">
        <v>77</v>
      </c>
      <c r="C32" s="2">
        <v>231.8</v>
      </c>
      <c r="D32" s="2">
        <v>2</v>
      </c>
      <c r="E32" s="3">
        <v>0.5277777777777779</v>
      </c>
      <c r="F32" s="2"/>
      <c r="G32" s="2">
        <f t="shared" si="0"/>
        <v>0</v>
      </c>
      <c r="H32" s="2">
        <f>IF(C32&lt;150,C32,C32/2)</f>
        <v>115.9</v>
      </c>
      <c r="I32" s="2">
        <f t="shared" si="1"/>
        <v>11.590000000000002</v>
      </c>
      <c r="J32" s="2">
        <f t="shared" si="2"/>
        <v>127.49000000000001</v>
      </c>
      <c r="K32" s="2">
        <v>115.9</v>
      </c>
      <c r="L32" s="2" t="s">
        <v>132</v>
      </c>
      <c r="M32" s="2" t="s">
        <v>146</v>
      </c>
      <c r="N32" s="2"/>
    </row>
    <row r="33" spans="1:14" x14ac:dyDescent="0.35">
      <c r="A33" s="2" t="s">
        <v>130</v>
      </c>
      <c r="B33" s="2" t="s">
        <v>113</v>
      </c>
      <c r="C33" s="2">
        <v>161.40000000000003</v>
      </c>
      <c r="D33" s="2">
        <v>1</v>
      </c>
      <c r="E33" s="3">
        <v>0.41666666666666652</v>
      </c>
      <c r="F33" s="2">
        <v>1</v>
      </c>
      <c r="G33" s="2">
        <f t="shared" si="0"/>
        <v>1</v>
      </c>
      <c r="H33" s="2">
        <f>C33</f>
        <v>161.40000000000003</v>
      </c>
      <c r="I33" s="2">
        <f t="shared" si="1"/>
        <v>16.140000000000004</v>
      </c>
      <c r="J33" s="2">
        <f t="shared" si="2"/>
        <v>177.54000000000005</v>
      </c>
      <c r="K33" s="2">
        <v>115.9</v>
      </c>
      <c r="L33" s="2" t="s">
        <v>132</v>
      </c>
      <c r="M33" s="2"/>
      <c r="N33" s="2"/>
    </row>
    <row r="34" spans="1:14" x14ac:dyDescent="0.35">
      <c r="A34" s="2" t="s">
        <v>90</v>
      </c>
      <c r="B34" s="2" t="s">
        <v>78</v>
      </c>
      <c r="C34" s="2">
        <v>231.8</v>
      </c>
      <c r="D34" s="2">
        <v>2</v>
      </c>
      <c r="E34" s="3">
        <v>0.5562499999999998</v>
      </c>
      <c r="F34" s="2"/>
      <c r="G34" s="2">
        <f t="shared" si="0"/>
        <v>0</v>
      </c>
      <c r="H34" s="2">
        <f>IF(C34&lt;150,C34,C34/2)</f>
        <v>115.9</v>
      </c>
      <c r="I34" s="2">
        <f t="shared" si="1"/>
        <v>11.590000000000002</v>
      </c>
      <c r="J34" s="2">
        <f t="shared" si="2"/>
        <v>127.49000000000001</v>
      </c>
      <c r="K34" s="2">
        <v>115.9</v>
      </c>
      <c r="L34" s="2" t="s">
        <v>132</v>
      </c>
      <c r="M34" s="2" t="s">
        <v>146</v>
      </c>
      <c r="N34" s="2"/>
    </row>
    <row r="35" spans="1:14" x14ac:dyDescent="0.35">
      <c r="A35" s="2" t="s">
        <v>130</v>
      </c>
      <c r="B35" s="2" t="s">
        <v>114</v>
      </c>
      <c r="C35" s="2">
        <v>161.40000000000003</v>
      </c>
      <c r="D35" s="2">
        <v>1</v>
      </c>
      <c r="E35" s="3">
        <v>0.41666666666666663</v>
      </c>
      <c r="F35" s="2">
        <v>1</v>
      </c>
      <c r="G35" s="2">
        <f t="shared" si="0"/>
        <v>1</v>
      </c>
      <c r="H35" s="2">
        <f>C35</f>
        <v>161.40000000000003</v>
      </c>
      <c r="I35" s="2">
        <f t="shared" si="1"/>
        <v>16.140000000000004</v>
      </c>
      <c r="J35" s="2">
        <f t="shared" si="2"/>
        <v>177.54000000000005</v>
      </c>
      <c r="K35" s="2">
        <v>115.9</v>
      </c>
      <c r="L35" s="2" t="s">
        <v>132</v>
      </c>
      <c r="M35" s="2"/>
      <c r="N35" s="2"/>
    </row>
    <row r="36" spans="1:14" x14ac:dyDescent="0.35">
      <c r="A36" s="2" t="s">
        <v>130</v>
      </c>
      <c r="B36" s="2" t="s">
        <v>115</v>
      </c>
      <c r="C36" s="2">
        <v>151.10000000000002</v>
      </c>
      <c r="D36" s="2">
        <v>1</v>
      </c>
      <c r="E36" s="3">
        <v>0.3958333333333332</v>
      </c>
      <c r="F36" s="2">
        <v>1</v>
      </c>
      <c r="G36" s="2">
        <f t="shared" si="0"/>
        <v>1</v>
      </c>
      <c r="H36" s="2">
        <f>C36</f>
        <v>151.10000000000002</v>
      </c>
      <c r="I36" s="2">
        <f t="shared" si="1"/>
        <v>15.110000000000003</v>
      </c>
      <c r="J36" s="2">
        <f t="shared" si="2"/>
        <v>166.21000000000004</v>
      </c>
      <c r="K36" s="2">
        <v>115.9</v>
      </c>
      <c r="L36" s="2" t="s">
        <v>132</v>
      </c>
      <c r="M36" s="2"/>
      <c r="N36" s="2"/>
    </row>
    <row r="37" spans="1:14" x14ac:dyDescent="0.35">
      <c r="A37" s="2" t="s">
        <v>130</v>
      </c>
      <c r="B37" s="2" t="s">
        <v>116</v>
      </c>
      <c r="C37" s="2">
        <v>171.70000000000002</v>
      </c>
      <c r="D37" s="2">
        <v>1</v>
      </c>
      <c r="E37" s="3">
        <v>0.4375</v>
      </c>
      <c r="F37" s="2">
        <v>1</v>
      </c>
      <c r="G37" s="2">
        <f t="shared" si="0"/>
        <v>1</v>
      </c>
      <c r="H37" s="2">
        <f>C37</f>
        <v>171.70000000000002</v>
      </c>
      <c r="I37" s="2">
        <f t="shared" si="1"/>
        <v>17.170000000000002</v>
      </c>
      <c r="J37" s="2">
        <f t="shared" si="2"/>
        <v>188.87</v>
      </c>
      <c r="K37" s="2">
        <v>115.9</v>
      </c>
      <c r="L37" s="2" t="s">
        <v>132</v>
      </c>
      <c r="M37" s="2"/>
      <c r="N37" s="2"/>
    </row>
    <row r="38" spans="1:14" x14ac:dyDescent="0.35">
      <c r="A38" s="2" t="s">
        <v>130</v>
      </c>
      <c r="B38" s="2" t="s">
        <v>117</v>
      </c>
      <c r="C38" s="2">
        <v>161.40000000000003</v>
      </c>
      <c r="D38" s="2">
        <v>1</v>
      </c>
      <c r="E38" s="3">
        <v>0.4166666666666668</v>
      </c>
      <c r="F38" s="2">
        <v>1</v>
      </c>
      <c r="G38" s="2">
        <f t="shared" si="0"/>
        <v>1</v>
      </c>
      <c r="H38" s="2">
        <f>C38</f>
        <v>161.40000000000003</v>
      </c>
      <c r="I38" s="2">
        <f t="shared" si="1"/>
        <v>16.140000000000004</v>
      </c>
      <c r="J38" s="2">
        <f t="shared" si="2"/>
        <v>177.54000000000005</v>
      </c>
      <c r="K38" s="2">
        <v>115.9</v>
      </c>
      <c r="L38" s="2" t="s">
        <v>132</v>
      </c>
      <c r="M38" s="2"/>
      <c r="N38" s="2"/>
    </row>
    <row r="39" spans="1:14" x14ac:dyDescent="0.35">
      <c r="A39" s="2" t="s">
        <v>130</v>
      </c>
      <c r="B39" s="2" t="s">
        <v>118</v>
      </c>
      <c r="C39" s="2">
        <v>161.40000000000003</v>
      </c>
      <c r="D39" s="2">
        <v>1</v>
      </c>
      <c r="E39" s="3">
        <v>0.41666666666666669</v>
      </c>
      <c r="F39" s="2">
        <v>1</v>
      </c>
      <c r="G39" s="2">
        <f t="shared" si="0"/>
        <v>1</v>
      </c>
      <c r="H39" s="2">
        <f>C39</f>
        <v>161.40000000000003</v>
      </c>
      <c r="I39" s="2">
        <f t="shared" si="1"/>
        <v>16.140000000000004</v>
      </c>
      <c r="J39" s="2">
        <f t="shared" si="2"/>
        <v>177.54000000000005</v>
      </c>
      <c r="K39" s="2">
        <v>115.9</v>
      </c>
      <c r="L39" s="2" t="s">
        <v>132</v>
      </c>
      <c r="M39" s="2"/>
      <c r="N39" s="2"/>
    </row>
    <row r="40" spans="1:14" x14ac:dyDescent="0.35">
      <c r="A40" s="2" t="s">
        <v>130</v>
      </c>
      <c r="B40" s="2" t="s">
        <v>119</v>
      </c>
      <c r="C40" s="2">
        <v>161.40000000000003</v>
      </c>
      <c r="D40" s="2">
        <v>1</v>
      </c>
      <c r="E40" s="3">
        <v>0.37499999999999989</v>
      </c>
      <c r="F40" s="2">
        <v>1</v>
      </c>
      <c r="G40" s="2">
        <f t="shared" si="0"/>
        <v>1</v>
      </c>
      <c r="H40" s="2">
        <f>C40</f>
        <v>161.40000000000003</v>
      </c>
      <c r="I40" s="2">
        <f t="shared" si="1"/>
        <v>16.140000000000004</v>
      </c>
      <c r="J40" s="2">
        <f t="shared" si="2"/>
        <v>177.54000000000005</v>
      </c>
      <c r="K40" s="2">
        <v>115.9</v>
      </c>
      <c r="L40" s="2" t="s">
        <v>132</v>
      </c>
      <c r="M40" s="2"/>
      <c r="N40" s="2"/>
    </row>
    <row r="41" spans="1:14" x14ac:dyDescent="0.35">
      <c r="A41" s="2" t="s">
        <v>130</v>
      </c>
      <c r="B41" s="2" t="s">
        <v>120</v>
      </c>
      <c r="C41" s="2">
        <v>161.40000000000003</v>
      </c>
      <c r="D41" s="2">
        <v>1</v>
      </c>
      <c r="E41" s="3">
        <v>0.41666666666666663</v>
      </c>
      <c r="F41" s="2">
        <v>1</v>
      </c>
      <c r="G41" s="2">
        <f t="shared" si="0"/>
        <v>1</v>
      </c>
      <c r="H41" s="2">
        <f>C41</f>
        <v>161.40000000000003</v>
      </c>
      <c r="I41" s="2">
        <f t="shared" si="1"/>
        <v>16.140000000000004</v>
      </c>
      <c r="J41" s="2">
        <f t="shared" si="2"/>
        <v>177.54000000000005</v>
      </c>
      <c r="K41" s="2">
        <v>115.9</v>
      </c>
      <c r="L41" s="2" t="s">
        <v>132</v>
      </c>
      <c r="M41" s="2"/>
      <c r="N41" s="2"/>
    </row>
    <row r="42" spans="1:14" x14ac:dyDescent="0.35">
      <c r="A42" s="2" t="s">
        <v>130</v>
      </c>
      <c r="B42" s="2" t="s">
        <v>121</v>
      </c>
      <c r="C42" s="2">
        <v>161.40000000000003</v>
      </c>
      <c r="D42" s="2">
        <v>1</v>
      </c>
      <c r="E42" s="3">
        <v>0.4166666666666668</v>
      </c>
      <c r="F42" s="2">
        <v>1</v>
      </c>
      <c r="G42" s="2">
        <f t="shared" si="0"/>
        <v>1</v>
      </c>
      <c r="H42" s="2">
        <f>C42</f>
        <v>161.40000000000003</v>
      </c>
      <c r="I42" s="2">
        <f t="shared" si="1"/>
        <v>16.140000000000004</v>
      </c>
      <c r="J42" s="2">
        <f t="shared" si="2"/>
        <v>177.54000000000005</v>
      </c>
      <c r="K42" s="2">
        <v>115.9</v>
      </c>
      <c r="L42" s="2" t="s">
        <v>132</v>
      </c>
      <c r="M42" s="2"/>
      <c r="N42" s="2"/>
    </row>
    <row r="43" spans="1:14" x14ac:dyDescent="0.35">
      <c r="A43" s="2" t="s">
        <v>130</v>
      </c>
      <c r="B43" s="2" t="s">
        <v>122</v>
      </c>
      <c r="C43" s="2">
        <v>161.40000000000003</v>
      </c>
      <c r="D43" s="2">
        <v>1</v>
      </c>
      <c r="E43" s="3">
        <v>0.41666666666666669</v>
      </c>
      <c r="F43" s="2">
        <v>1</v>
      </c>
      <c r="G43" s="2">
        <f t="shared" si="0"/>
        <v>1</v>
      </c>
      <c r="H43" s="2">
        <f>C43</f>
        <v>161.40000000000003</v>
      </c>
      <c r="I43" s="2">
        <f t="shared" si="1"/>
        <v>16.140000000000004</v>
      </c>
      <c r="J43" s="2">
        <f t="shared" si="2"/>
        <v>177.54000000000005</v>
      </c>
      <c r="K43" s="2">
        <v>115.9</v>
      </c>
      <c r="L43" s="2" t="s">
        <v>132</v>
      </c>
      <c r="M43" s="2"/>
      <c r="N43" s="2"/>
    </row>
    <row r="44" spans="1:14" x14ac:dyDescent="0.35">
      <c r="A44" s="2" t="s">
        <v>130</v>
      </c>
      <c r="B44" s="2" t="s">
        <v>123</v>
      </c>
      <c r="C44" s="2">
        <v>161.40000000000003</v>
      </c>
      <c r="D44" s="2">
        <v>1</v>
      </c>
      <c r="E44" s="3">
        <v>0.41666666666666646</v>
      </c>
      <c r="F44" s="2">
        <v>1</v>
      </c>
      <c r="G44" s="2">
        <f t="shared" si="0"/>
        <v>1</v>
      </c>
      <c r="H44" s="2">
        <f>C44</f>
        <v>161.40000000000003</v>
      </c>
      <c r="I44" s="2">
        <f t="shared" si="1"/>
        <v>16.140000000000004</v>
      </c>
      <c r="J44" s="2">
        <f t="shared" si="2"/>
        <v>177.54000000000005</v>
      </c>
      <c r="K44" s="2">
        <v>115.9</v>
      </c>
      <c r="L44" s="2" t="s">
        <v>132</v>
      </c>
      <c r="M44" s="2"/>
      <c r="N44" s="2"/>
    </row>
    <row r="45" spans="1:14" x14ac:dyDescent="0.35">
      <c r="A45" s="2" t="s">
        <v>90</v>
      </c>
      <c r="B45" s="2" t="s">
        <v>79</v>
      </c>
      <c r="C45" s="2">
        <v>231.8</v>
      </c>
      <c r="D45" s="2">
        <v>2</v>
      </c>
      <c r="E45" s="3">
        <v>0.5277777777777779</v>
      </c>
      <c r="F45" s="2"/>
      <c r="G45" s="2">
        <f t="shared" si="0"/>
        <v>0</v>
      </c>
      <c r="H45" s="2">
        <f>IF(C45&lt;150,C45,C45/2)</f>
        <v>115.9</v>
      </c>
      <c r="I45" s="2">
        <f t="shared" si="1"/>
        <v>11.590000000000002</v>
      </c>
      <c r="J45" s="2">
        <f t="shared" si="2"/>
        <v>127.49000000000001</v>
      </c>
      <c r="K45" s="2">
        <v>115.9</v>
      </c>
      <c r="L45" s="2" t="s">
        <v>132</v>
      </c>
      <c r="M45" s="2" t="s">
        <v>146</v>
      </c>
      <c r="N45" s="2"/>
    </row>
    <row r="46" spans="1:14" x14ac:dyDescent="0.35">
      <c r="A46" s="2" t="s">
        <v>90</v>
      </c>
      <c r="B46" s="2" t="s">
        <v>80</v>
      </c>
      <c r="C46" s="2">
        <v>231.8</v>
      </c>
      <c r="D46" s="2">
        <v>2</v>
      </c>
      <c r="E46" s="3">
        <v>0.52777777777777768</v>
      </c>
      <c r="F46" s="2"/>
      <c r="G46" s="2">
        <f t="shared" si="0"/>
        <v>0</v>
      </c>
      <c r="H46" s="2">
        <f>IF(C46&lt;150,C46,C46/2)</f>
        <v>115.9</v>
      </c>
      <c r="I46" s="2">
        <f t="shared" si="1"/>
        <v>11.590000000000002</v>
      </c>
      <c r="J46" s="2">
        <f t="shared" si="2"/>
        <v>127.49000000000001</v>
      </c>
      <c r="K46" s="2">
        <v>115.9</v>
      </c>
      <c r="L46" s="2" t="s">
        <v>132</v>
      </c>
      <c r="M46" s="2" t="s">
        <v>146</v>
      </c>
      <c r="N46" s="2"/>
    </row>
    <row r="47" spans="1:14" x14ac:dyDescent="0.35">
      <c r="A47" s="2" t="s">
        <v>90</v>
      </c>
      <c r="B47" s="2" t="s">
        <v>81</v>
      </c>
      <c r="C47" s="2">
        <v>231.8</v>
      </c>
      <c r="D47" s="2">
        <v>2</v>
      </c>
      <c r="E47" s="3">
        <v>0.52083333333333326</v>
      </c>
      <c r="F47" s="2"/>
      <c r="G47" s="2">
        <f t="shared" si="0"/>
        <v>0</v>
      </c>
      <c r="H47" s="2">
        <f>IF(C47&lt;150,C47,C47/2)</f>
        <v>115.9</v>
      </c>
      <c r="I47" s="2">
        <f t="shared" si="1"/>
        <v>11.590000000000002</v>
      </c>
      <c r="J47" s="2">
        <f t="shared" si="2"/>
        <v>127.49000000000001</v>
      </c>
      <c r="K47" s="2">
        <v>115.9</v>
      </c>
      <c r="L47" s="2" t="s">
        <v>132</v>
      </c>
      <c r="M47" s="2" t="s">
        <v>146</v>
      </c>
      <c r="N47" s="2"/>
    </row>
    <row r="48" spans="1:14" x14ac:dyDescent="0.35">
      <c r="A48" s="2" t="s">
        <v>90</v>
      </c>
      <c r="B48" s="2" t="s">
        <v>82</v>
      </c>
      <c r="C48" s="2">
        <v>231.8</v>
      </c>
      <c r="D48" s="2">
        <v>2</v>
      </c>
      <c r="E48" s="3">
        <v>0.52777777777777768</v>
      </c>
      <c r="F48" s="2"/>
      <c r="G48" s="2">
        <f t="shared" si="0"/>
        <v>0</v>
      </c>
      <c r="H48" s="2">
        <f>IF(C48&lt;150,C48,C48/2)</f>
        <v>115.9</v>
      </c>
      <c r="I48" s="2">
        <f t="shared" si="1"/>
        <v>11.590000000000002</v>
      </c>
      <c r="J48" s="2">
        <f t="shared" si="2"/>
        <v>127.49000000000001</v>
      </c>
      <c r="K48" s="2">
        <v>115.9</v>
      </c>
      <c r="L48" s="2" t="s">
        <v>132</v>
      </c>
      <c r="M48" s="2" t="s">
        <v>146</v>
      </c>
      <c r="N48" s="2"/>
    </row>
    <row r="49" spans="1:14" x14ac:dyDescent="0.35">
      <c r="A49" s="2" t="s">
        <v>90</v>
      </c>
      <c r="B49" s="2" t="s">
        <v>83</v>
      </c>
      <c r="C49" s="2">
        <v>231.8</v>
      </c>
      <c r="D49" s="2">
        <v>2</v>
      </c>
      <c r="E49" s="3">
        <v>0.52777777777777768</v>
      </c>
      <c r="F49" s="2"/>
      <c r="G49" s="2">
        <f t="shared" si="0"/>
        <v>0</v>
      </c>
      <c r="H49" s="2">
        <f>IF(C49&lt;150,C49,C49/2)</f>
        <v>115.9</v>
      </c>
      <c r="I49" s="2">
        <f t="shared" si="1"/>
        <v>11.590000000000002</v>
      </c>
      <c r="J49" s="2">
        <f t="shared" si="2"/>
        <v>127.49000000000001</v>
      </c>
      <c r="K49" s="2">
        <v>115.9</v>
      </c>
      <c r="L49" s="2" t="s">
        <v>132</v>
      </c>
      <c r="M49" s="2" t="s">
        <v>146</v>
      </c>
      <c r="N49" s="2"/>
    </row>
    <row r="50" spans="1:14" x14ac:dyDescent="0.35">
      <c r="A50" s="2" t="s">
        <v>90</v>
      </c>
      <c r="B50" s="2" t="s">
        <v>84</v>
      </c>
      <c r="C50" s="2">
        <v>231.8</v>
      </c>
      <c r="D50" s="2">
        <v>2</v>
      </c>
      <c r="E50" s="3">
        <v>0.52777777777777768</v>
      </c>
      <c r="F50" s="2"/>
      <c r="G50" s="2">
        <f t="shared" si="0"/>
        <v>0</v>
      </c>
      <c r="H50" s="2">
        <f>IF(C50&lt;150,C50,C50/2)</f>
        <v>115.9</v>
      </c>
      <c r="I50" s="2">
        <f t="shared" si="1"/>
        <v>11.590000000000002</v>
      </c>
      <c r="J50" s="2">
        <f t="shared" si="2"/>
        <v>127.49000000000001</v>
      </c>
      <c r="K50" s="2">
        <v>115.9</v>
      </c>
      <c r="L50" s="2" t="s">
        <v>132</v>
      </c>
      <c r="M50" s="2" t="s">
        <v>146</v>
      </c>
      <c r="N50" s="2"/>
    </row>
    <row r="51" spans="1:14" x14ac:dyDescent="0.35">
      <c r="A51" s="2" t="s">
        <v>130</v>
      </c>
      <c r="B51" s="2" t="s">
        <v>99</v>
      </c>
      <c r="C51" s="2">
        <v>171.4</v>
      </c>
      <c r="D51" s="2">
        <v>1</v>
      </c>
      <c r="E51" s="3">
        <v>0.4375</v>
      </c>
      <c r="F51" s="2">
        <v>1</v>
      </c>
      <c r="G51" s="2">
        <f t="shared" si="0"/>
        <v>1</v>
      </c>
      <c r="H51" s="2">
        <f>C51</f>
        <v>171.4</v>
      </c>
      <c r="I51" s="2">
        <f t="shared" si="1"/>
        <v>17.14</v>
      </c>
      <c r="J51" s="2">
        <f t="shared" si="2"/>
        <v>188.54000000000002</v>
      </c>
      <c r="K51" s="2">
        <v>116.5</v>
      </c>
      <c r="L51" s="2" t="s">
        <v>132</v>
      </c>
      <c r="M51" s="2"/>
      <c r="N51" s="2"/>
    </row>
    <row r="52" spans="1:14" x14ac:dyDescent="0.35">
      <c r="A52" s="2" t="s">
        <v>130</v>
      </c>
      <c r="B52" s="2" t="s">
        <v>100</v>
      </c>
      <c r="C52" s="2">
        <v>171.4</v>
      </c>
      <c r="D52" s="2">
        <v>1</v>
      </c>
      <c r="E52" s="3">
        <v>0.43750000000000006</v>
      </c>
      <c r="F52" s="2">
        <v>1</v>
      </c>
      <c r="G52" s="2">
        <f t="shared" si="0"/>
        <v>1</v>
      </c>
      <c r="H52" s="2">
        <f>C52</f>
        <v>171.4</v>
      </c>
      <c r="I52" s="2">
        <f t="shared" si="1"/>
        <v>17.14</v>
      </c>
      <c r="J52" s="2">
        <f t="shared" si="2"/>
        <v>188.54000000000002</v>
      </c>
      <c r="K52" s="2">
        <v>116.5</v>
      </c>
      <c r="L52" s="2" t="s">
        <v>132</v>
      </c>
      <c r="M52" s="2"/>
      <c r="N52" s="2"/>
    </row>
    <row r="53" spans="1:14" x14ac:dyDescent="0.35">
      <c r="A53" s="2" t="s">
        <v>130</v>
      </c>
      <c r="B53" s="2" t="s">
        <v>91</v>
      </c>
      <c r="C53" s="2">
        <v>163.80000000000001</v>
      </c>
      <c r="D53" s="2">
        <v>1</v>
      </c>
      <c r="E53" s="3">
        <v>0.41666666666666652</v>
      </c>
      <c r="F53" s="2">
        <v>1</v>
      </c>
      <c r="G53" s="2">
        <f t="shared" si="0"/>
        <v>1</v>
      </c>
      <c r="H53" s="2">
        <f>C53</f>
        <v>163.80000000000001</v>
      </c>
      <c r="I53" s="2">
        <f t="shared" si="1"/>
        <v>16.380000000000003</v>
      </c>
      <c r="J53" s="2">
        <f t="shared" si="2"/>
        <v>180.18</v>
      </c>
      <c r="K53" s="2">
        <v>117.7</v>
      </c>
      <c r="L53" s="2" t="s">
        <v>134</v>
      </c>
      <c r="M53" s="2"/>
      <c r="N53" s="2"/>
    </row>
    <row r="54" spans="1:14" x14ac:dyDescent="0.35">
      <c r="A54" s="2" t="s">
        <v>130</v>
      </c>
      <c r="B54" s="2" t="s">
        <v>92</v>
      </c>
      <c r="C54" s="2">
        <v>163.80000000000001</v>
      </c>
      <c r="D54" s="2">
        <v>1</v>
      </c>
      <c r="E54" s="3">
        <v>0.41666666666666674</v>
      </c>
      <c r="F54" s="2">
        <v>1</v>
      </c>
      <c r="G54" s="2">
        <f t="shared" si="0"/>
        <v>1</v>
      </c>
      <c r="H54" s="2">
        <f>C54</f>
        <v>163.80000000000001</v>
      </c>
      <c r="I54" s="2">
        <f t="shared" si="1"/>
        <v>16.380000000000003</v>
      </c>
      <c r="J54" s="2">
        <f t="shared" si="2"/>
        <v>180.18</v>
      </c>
      <c r="K54" s="2">
        <v>117.7</v>
      </c>
      <c r="L54" s="2" t="s">
        <v>134</v>
      </c>
      <c r="M54" s="2"/>
      <c r="N54" s="2" t="s">
        <v>142</v>
      </c>
    </row>
    <row r="55" spans="1:14" x14ac:dyDescent="0.35">
      <c r="A55" s="2" t="s">
        <v>130</v>
      </c>
      <c r="B55" s="2" t="s">
        <v>93</v>
      </c>
      <c r="C55" s="2">
        <v>163.80000000000001</v>
      </c>
      <c r="D55" s="2">
        <v>1</v>
      </c>
      <c r="E55" s="3">
        <v>0.41319444444444459</v>
      </c>
      <c r="F55" s="2">
        <v>1</v>
      </c>
      <c r="G55" s="2">
        <f t="shared" si="0"/>
        <v>1</v>
      </c>
      <c r="H55" s="2">
        <f>C55</f>
        <v>163.80000000000001</v>
      </c>
      <c r="I55" s="2">
        <f t="shared" si="1"/>
        <v>16.380000000000003</v>
      </c>
      <c r="J55" s="2">
        <f t="shared" si="2"/>
        <v>180.18</v>
      </c>
      <c r="K55" s="2">
        <v>117.7</v>
      </c>
      <c r="L55" s="2" t="s">
        <v>134</v>
      </c>
      <c r="M55" s="2"/>
      <c r="N55" s="2"/>
    </row>
    <row r="56" spans="1:14" x14ac:dyDescent="0.35">
      <c r="A56" s="2" t="s">
        <v>130</v>
      </c>
      <c r="B56" s="2" t="s">
        <v>94</v>
      </c>
      <c r="C56" s="2">
        <v>163.80000000000001</v>
      </c>
      <c r="D56" s="2">
        <v>1</v>
      </c>
      <c r="E56" s="3">
        <v>0.41666666666666663</v>
      </c>
      <c r="F56" s="2">
        <v>1</v>
      </c>
      <c r="G56" s="2">
        <f t="shared" si="0"/>
        <v>1</v>
      </c>
      <c r="H56" s="2">
        <f>C56</f>
        <v>163.80000000000001</v>
      </c>
      <c r="I56" s="2">
        <f t="shared" si="1"/>
        <v>16.380000000000003</v>
      </c>
      <c r="J56" s="2">
        <f t="shared" si="2"/>
        <v>180.18</v>
      </c>
      <c r="K56" s="2">
        <v>117.7</v>
      </c>
      <c r="L56" s="2" t="s">
        <v>134</v>
      </c>
      <c r="M56" s="2"/>
      <c r="N56" s="2"/>
    </row>
    <row r="57" spans="1:14" x14ac:dyDescent="0.35">
      <c r="A57" s="2" t="s">
        <v>130</v>
      </c>
      <c r="B57" s="2" t="s">
        <v>95</v>
      </c>
      <c r="C57" s="2">
        <v>163.80000000000001</v>
      </c>
      <c r="D57" s="2">
        <v>1</v>
      </c>
      <c r="E57" s="3">
        <v>0.4166666666666668</v>
      </c>
      <c r="F57" s="2">
        <v>1</v>
      </c>
      <c r="G57" s="2">
        <f t="shared" si="0"/>
        <v>1</v>
      </c>
      <c r="H57" s="2">
        <f>C57</f>
        <v>163.80000000000001</v>
      </c>
      <c r="I57" s="2">
        <f t="shared" si="1"/>
        <v>16.380000000000003</v>
      </c>
      <c r="J57" s="2">
        <f t="shared" si="2"/>
        <v>180.18</v>
      </c>
      <c r="K57" s="2">
        <v>117.7</v>
      </c>
      <c r="L57" s="2" t="s">
        <v>134</v>
      </c>
      <c r="M57" s="2"/>
      <c r="N57" s="2"/>
    </row>
    <row r="58" spans="1:14" x14ac:dyDescent="0.35">
      <c r="A58" s="2" t="s">
        <v>130</v>
      </c>
      <c r="B58" s="2" t="s">
        <v>96</v>
      </c>
      <c r="C58" s="2">
        <v>163.80000000000001</v>
      </c>
      <c r="D58" s="2">
        <v>1</v>
      </c>
      <c r="E58" s="3">
        <v>0.41666666666666674</v>
      </c>
      <c r="F58" s="2">
        <v>1</v>
      </c>
      <c r="G58" s="2">
        <f t="shared" si="0"/>
        <v>1</v>
      </c>
      <c r="H58" s="2">
        <f>C58</f>
        <v>163.80000000000001</v>
      </c>
      <c r="I58" s="2">
        <f t="shared" si="1"/>
        <v>16.380000000000003</v>
      </c>
      <c r="J58" s="2">
        <f t="shared" si="2"/>
        <v>180.18</v>
      </c>
      <c r="K58" s="2">
        <v>117.7</v>
      </c>
      <c r="L58" s="2" t="s">
        <v>134</v>
      </c>
      <c r="M58" s="2"/>
      <c r="N58" s="2"/>
    </row>
    <row r="59" spans="1:14" x14ac:dyDescent="0.35">
      <c r="A59" s="2" t="s">
        <v>130</v>
      </c>
      <c r="B59" s="2" t="s">
        <v>97</v>
      </c>
      <c r="C59" s="2">
        <v>163.80000000000001</v>
      </c>
      <c r="D59" s="2">
        <v>1</v>
      </c>
      <c r="E59" s="3">
        <v>0.5034722222222221</v>
      </c>
      <c r="F59" s="2">
        <v>1</v>
      </c>
      <c r="G59" s="2">
        <f t="shared" si="0"/>
        <v>1</v>
      </c>
      <c r="H59" s="2">
        <f>C59</f>
        <v>163.80000000000001</v>
      </c>
      <c r="I59" s="2">
        <f t="shared" si="1"/>
        <v>16.380000000000003</v>
      </c>
      <c r="J59" s="2">
        <f t="shared" si="2"/>
        <v>180.18</v>
      </c>
      <c r="K59" s="2">
        <v>117.7</v>
      </c>
      <c r="L59" s="2" t="s">
        <v>134</v>
      </c>
      <c r="M59" s="2"/>
      <c r="N59" s="2"/>
    </row>
    <row r="60" spans="1:14" x14ac:dyDescent="0.35">
      <c r="A60" s="2" t="s">
        <v>130</v>
      </c>
      <c r="B60" s="2" t="s">
        <v>98</v>
      </c>
      <c r="C60" s="2">
        <v>163.80000000000001</v>
      </c>
      <c r="D60" s="2">
        <v>1</v>
      </c>
      <c r="E60" s="3">
        <v>0.41666666666666669</v>
      </c>
      <c r="F60" s="2">
        <v>1</v>
      </c>
      <c r="G60" s="2">
        <f t="shared" si="0"/>
        <v>1</v>
      </c>
      <c r="H60" s="2">
        <f>C60</f>
        <v>163.80000000000001</v>
      </c>
      <c r="I60" s="2">
        <f t="shared" si="1"/>
        <v>16.380000000000003</v>
      </c>
      <c r="J60" s="2">
        <f t="shared" si="2"/>
        <v>180.18</v>
      </c>
      <c r="K60" s="2">
        <v>117.7</v>
      </c>
      <c r="L60" s="2" t="s">
        <v>134</v>
      </c>
      <c r="M60" s="2"/>
      <c r="N60" s="2"/>
    </row>
    <row r="61" spans="1:14" x14ac:dyDescent="0.35">
      <c r="A61" s="2" t="s">
        <v>90</v>
      </c>
      <c r="B61" s="2" t="s">
        <v>53</v>
      </c>
      <c r="C61" s="2">
        <v>238.40000000000003</v>
      </c>
      <c r="D61" s="2">
        <v>2</v>
      </c>
      <c r="E61" s="3">
        <v>0.56944444444444453</v>
      </c>
      <c r="F61" s="2"/>
      <c r="G61" s="2">
        <f t="shared" si="0"/>
        <v>0</v>
      </c>
      <c r="H61" s="2">
        <f>IF(C61&lt;150,C61,C61/2)</f>
        <v>119.20000000000002</v>
      </c>
      <c r="I61" s="2">
        <f t="shared" si="1"/>
        <v>11.920000000000002</v>
      </c>
      <c r="J61" s="2">
        <f t="shared" si="2"/>
        <v>131.12</v>
      </c>
      <c r="K61" s="2">
        <v>119.2</v>
      </c>
      <c r="L61" s="2" t="s">
        <v>134</v>
      </c>
      <c r="M61" s="2" t="s">
        <v>145</v>
      </c>
      <c r="N61" s="2"/>
    </row>
    <row r="62" spans="1:14" x14ac:dyDescent="0.35">
      <c r="A62" s="2" t="s">
        <v>90</v>
      </c>
      <c r="B62" s="2" t="s">
        <v>54</v>
      </c>
      <c r="C62" s="2">
        <v>238.40000000000003</v>
      </c>
      <c r="D62" s="2">
        <v>2</v>
      </c>
      <c r="E62" s="3">
        <v>0.57291666666666652</v>
      </c>
      <c r="F62" s="2"/>
      <c r="G62" s="2">
        <f t="shared" si="0"/>
        <v>0</v>
      </c>
      <c r="H62" s="2">
        <f>IF(C62&lt;150,C62,C62/2)</f>
        <v>119.20000000000002</v>
      </c>
      <c r="I62" s="2">
        <f t="shared" si="1"/>
        <v>11.920000000000002</v>
      </c>
      <c r="J62" s="2">
        <f t="shared" si="2"/>
        <v>131.12</v>
      </c>
      <c r="K62" s="2">
        <v>119.2</v>
      </c>
      <c r="L62" s="2" t="s">
        <v>134</v>
      </c>
      <c r="M62" s="2" t="s">
        <v>145</v>
      </c>
      <c r="N62" s="2"/>
    </row>
    <row r="63" spans="1:14" x14ac:dyDescent="0.35">
      <c r="A63" s="2" t="s">
        <v>90</v>
      </c>
      <c r="B63" s="2" t="s">
        <v>55</v>
      </c>
      <c r="C63" s="2">
        <v>238.40000000000003</v>
      </c>
      <c r="D63" s="2">
        <v>2</v>
      </c>
      <c r="E63" s="3">
        <v>0.57291666666666663</v>
      </c>
      <c r="F63" s="2"/>
      <c r="G63" s="2">
        <f t="shared" si="0"/>
        <v>0</v>
      </c>
      <c r="H63" s="2">
        <f>IF(C63&lt;150,C63,C63/2)</f>
        <v>119.20000000000002</v>
      </c>
      <c r="I63" s="2">
        <f t="shared" si="1"/>
        <v>11.920000000000002</v>
      </c>
      <c r="J63" s="2">
        <f t="shared" si="2"/>
        <v>131.12</v>
      </c>
      <c r="K63" s="2">
        <v>119.2</v>
      </c>
      <c r="L63" s="2" t="s">
        <v>134</v>
      </c>
      <c r="M63" s="2" t="s">
        <v>145</v>
      </c>
      <c r="N63" s="2"/>
    </row>
    <row r="64" spans="1:14" x14ac:dyDescent="0.35">
      <c r="A64" s="2" t="s">
        <v>90</v>
      </c>
      <c r="B64" s="2" t="s">
        <v>56</v>
      </c>
      <c r="C64" s="2">
        <v>238.40000000000003</v>
      </c>
      <c r="D64" s="2">
        <v>2</v>
      </c>
      <c r="E64" s="3">
        <v>0.57291666666666674</v>
      </c>
      <c r="F64" s="2"/>
      <c r="G64" s="2">
        <f t="shared" si="0"/>
        <v>0</v>
      </c>
      <c r="H64" s="2">
        <f>IF(C64&lt;150,C64,C64/2)</f>
        <v>119.20000000000002</v>
      </c>
      <c r="I64" s="2">
        <f t="shared" si="1"/>
        <v>11.920000000000002</v>
      </c>
      <c r="J64" s="2">
        <f t="shared" si="2"/>
        <v>131.12</v>
      </c>
      <c r="K64" s="2">
        <v>119.2</v>
      </c>
      <c r="L64" s="2" t="s">
        <v>134</v>
      </c>
      <c r="M64" s="2" t="s">
        <v>145</v>
      </c>
      <c r="N64" s="2"/>
    </row>
    <row r="65" spans="1:14" x14ac:dyDescent="0.35">
      <c r="A65" s="2" t="s">
        <v>90</v>
      </c>
      <c r="B65" s="2" t="s">
        <v>57</v>
      </c>
      <c r="C65" s="2">
        <v>238.40000000000003</v>
      </c>
      <c r="D65" s="2">
        <v>2</v>
      </c>
      <c r="E65" s="3">
        <v>0.57291666666666652</v>
      </c>
      <c r="F65" s="2"/>
      <c r="G65" s="2">
        <f t="shared" si="0"/>
        <v>0</v>
      </c>
      <c r="H65" s="2">
        <f>IF(C65&lt;150,C65,C65/2)</f>
        <v>119.20000000000002</v>
      </c>
      <c r="I65" s="2">
        <f t="shared" si="1"/>
        <v>11.920000000000002</v>
      </c>
      <c r="J65" s="2">
        <f t="shared" si="2"/>
        <v>131.12</v>
      </c>
      <c r="K65" s="2">
        <v>119.2</v>
      </c>
      <c r="L65" s="2" t="s">
        <v>134</v>
      </c>
      <c r="M65" s="2" t="s">
        <v>145</v>
      </c>
      <c r="N65" s="2"/>
    </row>
    <row r="66" spans="1:14" x14ac:dyDescent="0.35">
      <c r="A66" s="2" t="s">
        <v>17</v>
      </c>
      <c r="B66" s="2" t="s">
        <v>7</v>
      </c>
      <c r="C66" s="2">
        <v>119.2</v>
      </c>
      <c r="D66" s="2">
        <v>1</v>
      </c>
      <c r="E66" s="3">
        <v>0.28124999999999994</v>
      </c>
      <c r="F66" s="2"/>
      <c r="G66" s="2">
        <f t="shared" si="0"/>
        <v>0</v>
      </c>
      <c r="H66" s="2">
        <f>IF(C66&lt;150,C66,C66/2)</f>
        <v>119.2</v>
      </c>
      <c r="I66" s="2">
        <f t="shared" si="1"/>
        <v>11.920000000000002</v>
      </c>
      <c r="J66" s="2">
        <f t="shared" si="2"/>
        <v>131.12</v>
      </c>
      <c r="K66" s="2">
        <v>119.2</v>
      </c>
      <c r="L66" s="2" t="s">
        <v>134</v>
      </c>
      <c r="M66" s="2" t="s">
        <v>148</v>
      </c>
      <c r="N66" s="2"/>
    </row>
    <row r="67" spans="1:14" x14ac:dyDescent="0.35">
      <c r="A67" s="2" t="s">
        <v>16</v>
      </c>
      <c r="B67" s="2" t="s">
        <v>7</v>
      </c>
      <c r="C67" s="2">
        <v>238.4</v>
      </c>
      <c r="D67" s="2">
        <v>2</v>
      </c>
      <c r="E67" s="3">
        <v>0.56250000000000022</v>
      </c>
      <c r="F67" s="2"/>
      <c r="G67" s="2">
        <f t="shared" ref="G67:G130" si="3">F67</f>
        <v>0</v>
      </c>
      <c r="H67" s="2">
        <f>IF(C67&lt;150,C67,C67/2)</f>
        <v>119.2</v>
      </c>
      <c r="I67" s="2">
        <f t="shared" ref="I67:I130" si="4">H67*0.1</f>
        <v>11.920000000000002</v>
      </c>
      <c r="J67" s="2">
        <f t="shared" ref="J67:J130" si="5">I67+H67</f>
        <v>131.12</v>
      </c>
      <c r="K67" s="2">
        <v>119.2</v>
      </c>
      <c r="L67" s="2" t="s">
        <v>134</v>
      </c>
      <c r="M67" s="2" t="s">
        <v>154</v>
      </c>
      <c r="N67" s="2"/>
    </row>
    <row r="68" spans="1:14" x14ac:dyDescent="0.35">
      <c r="A68" s="2" t="s">
        <v>90</v>
      </c>
      <c r="B68" s="2" t="s">
        <v>58</v>
      </c>
      <c r="C68" s="2">
        <v>238.40000000000003</v>
      </c>
      <c r="D68" s="2">
        <v>2</v>
      </c>
      <c r="E68" s="3">
        <v>0.57291666666666663</v>
      </c>
      <c r="F68" s="2"/>
      <c r="G68" s="2">
        <f t="shared" si="3"/>
        <v>0</v>
      </c>
      <c r="H68" s="2">
        <f>IF(C68&lt;150,C68,C68/2)</f>
        <v>119.20000000000002</v>
      </c>
      <c r="I68" s="2">
        <f t="shared" si="4"/>
        <v>11.920000000000002</v>
      </c>
      <c r="J68" s="2">
        <f t="shared" si="5"/>
        <v>131.12</v>
      </c>
      <c r="K68" s="2">
        <v>119.2</v>
      </c>
      <c r="L68" s="2" t="s">
        <v>134</v>
      </c>
      <c r="M68" s="2" t="s">
        <v>145</v>
      </c>
      <c r="N68" s="2"/>
    </row>
    <row r="69" spans="1:14" x14ac:dyDescent="0.35">
      <c r="A69" s="2" t="s">
        <v>90</v>
      </c>
      <c r="B69" s="2" t="s">
        <v>59</v>
      </c>
      <c r="C69" s="2">
        <v>238.40000000000003</v>
      </c>
      <c r="D69" s="2">
        <v>2</v>
      </c>
      <c r="E69" s="3">
        <v>0.57291666666666663</v>
      </c>
      <c r="F69" s="2"/>
      <c r="G69" s="2">
        <f t="shared" si="3"/>
        <v>0</v>
      </c>
      <c r="H69" s="2">
        <f>IF(C69&lt;150,C69,C69/2)</f>
        <v>119.20000000000002</v>
      </c>
      <c r="I69" s="2">
        <f t="shared" si="4"/>
        <v>11.920000000000002</v>
      </c>
      <c r="J69" s="2">
        <f t="shared" si="5"/>
        <v>131.12</v>
      </c>
      <c r="K69" s="2">
        <v>119.2</v>
      </c>
      <c r="L69" s="2" t="s">
        <v>134</v>
      </c>
      <c r="M69" s="2" t="s">
        <v>145</v>
      </c>
      <c r="N69" s="2"/>
    </row>
    <row r="70" spans="1:14" x14ac:dyDescent="0.35">
      <c r="A70" s="2" t="s">
        <v>17</v>
      </c>
      <c r="B70" s="2" t="s">
        <v>8</v>
      </c>
      <c r="C70" s="2">
        <v>119.2</v>
      </c>
      <c r="D70" s="2">
        <v>1</v>
      </c>
      <c r="E70" s="3">
        <v>0.28125000000000006</v>
      </c>
      <c r="F70" s="2"/>
      <c r="G70" s="2">
        <f t="shared" si="3"/>
        <v>0</v>
      </c>
      <c r="H70" s="2">
        <f>IF(C70&lt;150,C70,C70/2)</f>
        <v>119.2</v>
      </c>
      <c r="I70" s="2">
        <f t="shared" si="4"/>
        <v>11.920000000000002</v>
      </c>
      <c r="J70" s="2">
        <f t="shared" si="5"/>
        <v>131.12</v>
      </c>
      <c r="K70" s="2">
        <v>119.2</v>
      </c>
      <c r="L70" s="2" t="s">
        <v>134</v>
      </c>
      <c r="M70" s="2" t="s">
        <v>148</v>
      </c>
      <c r="N70" s="2"/>
    </row>
    <row r="71" spans="1:14" x14ac:dyDescent="0.35">
      <c r="A71" s="2" t="s">
        <v>16</v>
      </c>
      <c r="B71" s="2" t="s">
        <v>8</v>
      </c>
      <c r="C71" s="2">
        <v>238.4</v>
      </c>
      <c r="D71" s="2">
        <v>2</v>
      </c>
      <c r="E71" s="3">
        <v>0.54861111111111116</v>
      </c>
      <c r="F71" s="2"/>
      <c r="G71" s="2">
        <f t="shared" si="3"/>
        <v>0</v>
      </c>
      <c r="H71" s="2">
        <f>IF(C71&lt;150,C71,C71/2)</f>
        <v>119.2</v>
      </c>
      <c r="I71" s="2">
        <f t="shared" si="4"/>
        <v>11.920000000000002</v>
      </c>
      <c r="J71" s="2">
        <f t="shared" si="5"/>
        <v>131.12</v>
      </c>
      <c r="K71" s="2">
        <v>119.2</v>
      </c>
      <c r="L71" s="2" t="s">
        <v>134</v>
      </c>
      <c r="M71" s="2" t="s">
        <v>154</v>
      </c>
      <c r="N71" s="2"/>
    </row>
    <row r="72" spans="1:14" x14ac:dyDescent="0.35">
      <c r="A72" s="2" t="s">
        <v>90</v>
      </c>
      <c r="B72" s="2" t="s">
        <v>60</v>
      </c>
      <c r="C72" s="2">
        <v>215.90000000000003</v>
      </c>
      <c r="D72" s="2">
        <v>2</v>
      </c>
      <c r="E72" s="3">
        <v>0.52083333333333326</v>
      </c>
      <c r="F72" s="2"/>
      <c r="G72" s="2">
        <f t="shared" si="3"/>
        <v>0</v>
      </c>
      <c r="H72" s="2">
        <f>IF(C72&lt;150,C72,C72/2)</f>
        <v>107.95000000000002</v>
      </c>
      <c r="I72" s="2">
        <f t="shared" si="4"/>
        <v>10.795000000000002</v>
      </c>
      <c r="J72" s="2">
        <f t="shared" si="5"/>
        <v>118.74500000000002</v>
      </c>
      <c r="K72" s="2">
        <v>119.2</v>
      </c>
      <c r="L72" s="2" t="s">
        <v>134</v>
      </c>
      <c r="M72" s="2" t="s">
        <v>145</v>
      </c>
      <c r="N72" s="2"/>
    </row>
    <row r="73" spans="1:14" x14ac:dyDescent="0.35">
      <c r="A73" s="2" t="s">
        <v>90</v>
      </c>
      <c r="B73" s="2" t="s">
        <v>61</v>
      </c>
      <c r="C73" s="2">
        <v>238.40000000000003</v>
      </c>
      <c r="D73" s="2">
        <v>2</v>
      </c>
      <c r="E73" s="3">
        <v>0.57291666666666663</v>
      </c>
      <c r="F73" s="2"/>
      <c r="G73" s="2">
        <f t="shared" si="3"/>
        <v>0</v>
      </c>
      <c r="H73" s="2">
        <f>IF(C73&lt;150,C73,C73/2)</f>
        <v>119.20000000000002</v>
      </c>
      <c r="I73" s="2">
        <f t="shared" si="4"/>
        <v>11.920000000000002</v>
      </c>
      <c r="J73" s="2">
        <f t="shared" si="5"/>
        <v>131.12</v>
      </c>
      <c r="K73" s="2">
        <v>119.2</v>
      </c>
      <c r="L73" s="2" t="s">
        <v>134</v>
      </c>
      <c r="M73" s="2" t="s">
        <v>145</v>
      </c>
      <c r="N73" s="2"/>
    </row>
    <row r="74" spans="1:14" x14ac:dyDescent="0.35">
      <c r="A74" s="2" t="s">
        <v>90</v>
      </c>
      <c r="B74" s="2" t="s">
        <v>62</v>
      </c>
      <c r="C74" s="2">
        <v>238.40000000000003</v>
      </c>
      <c r="D74" s="2">
        <v>2</v>
      </c>
      <c r="E74" s="3">
        <v>0.57291666666666663</v>
      </c>
      <c r="F74" s="2"/>
      <c r="G74" s="2">
        <f t="shared" si="3"/>
        <v>0</v>
      </c>
      <c r="H74" s="2">
        <f>IF(C74&lt;150,C74,C74/2)</f>
        <v>119.20000000000002</v>
      </c>
      <c r="I74" s="2">
        <f t="shared" si="4"/>
        <v>11.920000000000002</v>
      </c>
      <c r="J74" s="2">
        <f t="shared" si="5"/>
        <v>131.12</v>
      </c>
      <c r="K74" s="2">
        <v>119.2</v>
      </c>
      <c r="L74" s="2" t="s">
        <v>134</v>
      </c>
      <c r="M74" s="2" t="s">
        <v>145</v>
      </c>
      <c r="N74" s="2"/>
    </row>
    <row r="75" spans="1:14" x14ac:dyDescent="0.35">
      <c r="A75" s="2" t="s">
        <v>90</v>
      </c>
      <c r="B75" s="2" t="s">
        <v>63</v>
      </c>
      <c r="C75" s="2">
        <v>238.40000000000003</v>
      </c>
      <c r="D75" s="2">
        <v>2</v>
      </c>
      <c r="E75" s="3">
        <v>0.57291666666666663</v>
      </c>
      <c r="F75" s="2"/>
      <c r="G75" s="2">
        <f t="shared" si="3"/>
        <v>0</v>
      </c>
      <c r="H75" s="2">
        <f>IF(C75&lt;150,C75,C75/2)</f>
        <v>119.20000000000002</v>
      </c>
      <c r="I75" s="2">
        <f t="shared" si="4"/>
        <v>11.920000000000002</v>
      </c>
      <c r="J75" s="2">
        <f t="shared" si="5"/>
        <v>131.12</v>
      </c>
      <c r="K75" s="2">
        <v>119.2</v>
      </c>
      <c r="L75" s="2" t="s">
        <v>134</v>
      </c>
      <c r="M75" s="2" t="s">
        <v>145</v>
      </c>
      <c r="N75" s="2"/>
    </row>
    <row r="76" spans="1:14" x14ac:dyDescent="0.35">
      <c r="A76" s="2" t="s">
        <v>90</v>
      </c>
      <c r="B76" s="2" t="s">
        <v>64</v>
      </c>
      <c r="C76" s="2">
        <v>238.40000000000003</v>
      </c>
      <c r="D76" s="2">
        <v>2</v>
      </c>
      <c r="E76" s="3">
        <v>0.57291666666666674</v>
      </c>
      <c r="F76" s="2"/>
      <c r="G76" s="2">
        <f t="shared" si="3"/>
        <v>0</v>
      </c>
      <c r="H76" s="2">
        <f>IF(C76&lt;150,C76,C76/2)</f>
        <v>119.20000000000002</v>
      </c>
      <c r="I76" s="2">
        <f t="shared" si="4"/>
        <v>11.920000000000002</v>
      </c>
      <c r="J76" s="2">
        <f t="shared" si="5"/>
        <v>131.12</v>
      </c>
      <c r="K76" s="2">
        <v>119.2</v>
      </c>
      <c r="L76" s="2" t="s">
        <v>134</v>
      </c>
      <c r="M76" s="2" t="s">
        <v>145</v>
      </c>
      <c r="N76" s="2"/>
    </row>
    <row r="77" spans="1:14" x14ac:dyDescent="0.35">
      <c r="A77" s="2" t="s">
        <v>90</v>
      </c>
      <c r="B77" s="2" t="s">
        <v>65</v>
      </c>
      <c r="C77" s="2">
        <v>238.40000000000003</v>
      </c>
      <c r="D77" s="2">
        <v>2</v>
      </c>
      <c r="E77" s="3">
        <v>0.57291666666666663</v>
      </c>
      <c r="F77" s="2"/>
      <c r="G77" s="2">
        <f t="shared" si="3"/>
        <v>0</v>
      </c>
      <c r="H77" s="2">
        <f>IF(C77&lt;150,C77,C77/2)</f>
        <v>119.20000000000002</v>
      </c>
      <c r="I77" s="2">
        <f t="shared" si="4"/>
        <v>11.920000000000002</v>
      </c>
      <c r="J77" s="2">
        <f t="shared" si="5"/>
        <v>131.12</v>
      </c>
      <c r="K77" s="2">
        <v>119.2</v>
      </c>
      <c r="L77" s="2" t="s">
        <v>134</v>
      </c>
      <c r="M77" s="2" t="s">
        <v>145</v>
      </c>
      <c r="N77" s="2"/>
    </row>
    <row r="78" spans="1:14" x14ac:dyDescent="0.35">
      <c r="A78" s="2" t="s">
        <v>90</v>
      </c>
      <c r="B78" s="2" t="s">
        <v>66</v>
      </c>
      <c r="C78" s="2">
        <v>238.40000000000003</v>
      </c>
      <c r="D78" s="2">
        <v>2</v>
      </c>
      <c r="E78" s="3">
        <v>0.57291666666666674</v>
      </c>
      <c r="F78" s="2"/>
      <c r="G78" s="2">
        <f t="shared" si="3"/>
        <v>0</v>
      </c>
      <c r="H78" s="2">
        <f>IF(C78&lt;150,C78,C78/2)</f>
        <v>119.20000000000002</v>
      </c>
      <c r="I78" s="2">
        <f t="shared" si="4"/>
        <v>11.920000000000002</v>
      </c>
      <c r="J78" s="2">
        <f t="shared" si="5"/>
        <v>131.12</v>
      </c>
      <c r="K78" s="2">
        <v>119.2</v>
      </c>
      <c r="L78" s="2" t="s">
        <v>134</v>
      </c>
      <c r="M78" s="2" t="s">
        <v>145</v>
      </c>
      <c r="N78" s="2"/>
    </row>
    <row r="79" spans="1:14" x14ac:dyDescent="0.35">
      <c r="A79" s="2" t="s">
        <v>90</v>
      </c>
      <c r="B79" s="2" t="s">
        <v>67</v>
      </c>
      <c r="C79" s="2">
        <v>238.40000000000003</v>
      </c>
      <c r="D79" s="2">
        <v>2</v>
      </c>
      <c r="E79" s="3">
        <v>0.57291666666666663</v>
      </c>
      <c r="F79" s="2"/>
      <c r="G79" s="2">
        <f t="shared" si="3"/>
        <v>0</v>
      </c>
      <c r="H79" s="2">
        <f>IF(C79&lt;150,C79,C79/2)</f>
        <v>119.20000000000002</v>
      </c>
      <c r="I79" s="2">
        <f t="shared" si="4"/>
        <v>11.920000000000002</v>
      </c>
      <c r="J79" s="2">
        <f t="shared" si="5"/>
        <v>131.12</v>
      </c>
      <c r="K79" s="2">
        <v>119.2</v>
      </c>
      <c r="L79" s="2" t="s">
        <v>134</v>
      </c>
      <c r="M79" s="2" t="s">
        <v>145</v>
      </c>
      <c r="N79" s="2"/>
    </row>
    <row r="80" spans="1:14" x14ac:dyDescent="0.35">
      <c r="A80" s="2" t="s">
        <v>90</v>
      </c>
      <c r="B80" s="2" t="s">
        <v>68</v>
      </c>
      <c r="C80" s="2">
        <v>238.40000000000003</v>
      </c>
      <c r="D80" s="2">
        <v>2</v>
      </c>
      <c r="E80" s="3">
        <v>0.57291666666666663</v>
      </c>
      <c r="F80" s="2"/>
      <c r="G80" s="2">
        <f t="shared" si="3"/>
        <v>0</v>
      </c>
      <c r="H80" s="2">
        <f>IF(C80&lt;150,C80,C80/2)</f>
        <v>119.20000000000002</v>
      </c>
      <c r="I80" s="2">
        <f t="shared" si="4"/>
        <v>11.920000000000002</v>
      </c>
      <c r="J80" s="2">
        <f t="shared" si="5"/>
        <v>131.12</v>
      </c>
      <c r="K80" s="2">
        <v>119.2</v>
      </c>
      <c r="L80" s="2" t="s">
        <v>134</v>
      </c>
      <c r="M80" s="2" t="s">
        <v>145</v>
      </c>
      <c r="N80" s="2"/>
    </row>
    <row r="81" spans="1:14" x14ac:dyDescent="0.35">
      <c r="A81" s="2" t="s">
        <v>17</v>
      </c>
      <c r="B81" s="2" t="s">
        <v>9</v>
      </c>
      <c r="C81" s="2">
        <v>119.2</v>
      </c>
      <c r="D81" s="2">
        <v>1</v>
      </c>
      <c r="E81" s="3">
        <v>0.28125</v>
      </c>
      <c r="F81" s="2"/>
      <c r="G81" s="2">
        <f t="shared" si="3"/>
        <v>0</v>
      </c>
      <c r="H81" s="2">
        <f>IF(C81&lt;150,C81,C81/2)</f>
        <v>119.2</v>
      </c>
      <c r="I81" s="2">
        <f t="shared" si="4"/>
        <v>11.920000000000002</v>
      </c>
      <c r="J81" s="2">
        <f t="shared" si="5"/>
        <v>131.12</v>
      </c>
      <c r="K81" s="2">
        <v>119.2</v>
      </c>
      <c r="L81" s="2" t="s">
        <v>134</v>
      </c>
      <c r="M81" s="2" t="s">
        <v>148</v>
      </c>
      <c r="N81" s="2"/>
    </row>
    <row r="82" spans="1:14" x14ac:dyDescent="0.35">
      <c r="A82" s="2" t="s">
        <v>16</v>
      </c>
      <c r="B82" s="2" t="s">
        <v>9</v>
      </c>
      <c r="C82" s="2">
        <v>119.2</v>
      </c>
      <c r="D82" s="2">
        <v>1</v>
      </c>
      <c r="E82" s="3">
        <v>0.28125</v>
      </c>
      <c r="F82" s="2"/>
      <c r="G82" s="2">
        <f t="shared" si="3"/>
        <v>0</v>
      </c>
      <c r="H82" s="2">
        <f>IF(C82&lt;150,C82,C82/2)</f>
        <v>119.2</v>
      </c>
      <c r="I82" s="2">
        <f t="shared" si="4"/>
        <v>11.920000000000002</v>
      </c>
      <c r="J82" s="2">
        <f t="shared" si="5"/>
        <v>131.12</v>
      </c>
      <c r="K82" s="2">
        <v>119.2</v>
      </c>
      <c r="L82" s="2" t="s">
        <v>134</v>
      </c>
      <c r="M82" s="2" t="s">
        <v>154</v>
      </c>
      <c r="N82" s="2"/>
    </row>
    <row r="83" spans="1:14" x14ac:dyDescent="0.35">
      <c r="A83" s="2" t="s">
        <v>90</v>
      </c>
      <c r="B83" s="2" t="s">
        <v>69</v>
      </c>
      <c r="C83" s="2">
        <v>238.40000000000003</v>
      </c>
      <c r="D83" s="2">
        <v>2</v>
      </c>
      <c r="E83" s="3">
        <v>0.56597222222222221</v>
      </c>
      <c r="F83" s="2"/>
      <c r="G83" s="2">
        <f t="shared" si="3"/>
        <v>0</v>
      </c>
      <c r="H83" s="2">
        <f>IF(C83&lt;150,C83,C83/2)</f>
        <v>119.20000000000002</v>
      </c>
      <c r="I83" s="2">
        <f t="shared" si="4"/>
        <v>11.920000000000002</v>
      </c>
      <c r="J83" s="2">
        <f t="shared" si="5"/>
        <v>131.12</v>
      </c>
      <c r="K83" s="2">
        <v>119.2</v>
      </c>
      <c r="L83" s="2" t="s">
        <v>134</v>
      </c>
      <c r="M83" s="2" t="s">
        <v>145</v>
      </c>
      <c r="N83" s="2"/>
    </row>
    <row r="84" spans="1:14" x14ac:dyDescent="0.35">
      <c r="A84" s="2" t="s">
        <v>90</v>
      </c>
      <c r="B84" s="2" t="s">
        <v>70</v>
      </c>
      <c r="C84" s="2">
        <v>238.40000000000003</v>
      </c>
      <c r="D84" s="2">
        <v>2</v>
      </c>
      <c r="E84" s="3">
        <v>0.54166666666666663</v>
      </c>
      <c r="F84" s="2"/>
      <c r="G84" s="2">
        <f t="shared" si="3"/>
        <v>0</v>
      </c>
      <c r="H84" s="2">
        <f>IF(C84&lt;150,C84,C84/2)</f>
        <v>119.20000000000002</v>
      </c>
      <c r="I84" s="2">
        <f t="shared" si="4"/>
        <v>11.920000000000002</v>
      </c>
      <c r="J84" s="2">
        <f t="shared" si="5"/>
        <v>131.12</v>
      </c>
      <c r="K84" s="2">
        <v>119.2</v>
      </c>
      <c r="L84" s="2" t="s">
        <v>134</v>
      </c>
      <c r="M84" s="2" t="s">
        <v>145</v>
      </c>
      <c r="N84" s="2"/>
    </row>
    <row r="85" spans="1:14" x14ac:dyDescent="0.35">
      <c r="A85" s="2" t="s">
        <v>90</v>
      </c>
      <c r="B85" s="2" t="s">
        <v>71</v>
      </c>
      <c r="C85" s="2">
        <v>238.40000000000003</v>
      </c>
      <c r="D85" s="2">
        <v>3</v>
      </c>
      <c r="E85" s="3">
        <v>0.51736111111111116</v>
      </c>
      <c r="F85" s="2"/>
      <c r="G85" s="2">
        <f t="shared" si="3"/>
        <v>0</v>
      </c>
      <c r="H85" s="2">
        <f>IF(C85&lt;150,C85,C85/2)</f>
        <v>119.20000000000002</v>
      </c>
      <c r="I85" s="2">
        <f t="shared" si="4"/>
        <v>11.920000000000002</v>
      </c>
      <c r="J85" s="2">
        <f t="shared" si="5"/>
        <v>131.12</v>
      </c>
      <c r="K85" s="2">
        <v>119.2</v>
      </c>
      <c r="L85" s="2" t="s">
        <v>134</v>
      </c>
      <c r="M85" s="2" t="s">
        <v>145</v>
      </c>
      <c r="N85" s="2"/>
    </row>
    <row r="86" spans="1:14" x14ac:dyDescent="0.35">
      <c r="A86" s="2" t="s">
        <v>90</v>
      </c>
      <c r="B86" s="2" t="s">
        <v>72</v>
      </c>
      <c r="C86" s="2">
        <v>238.40000000000003</v>
      </c>
      <c r="D86" s="2"/>
      <c r="E86" s="3">
        <v>0.54166666666666663</v>
      </c>
      <c r="F86" s="2"/>
      <c r="G86" s="2">
        <f t="shared" si="3"/>
        <v>0</v>
      </c>
      <c r="H86" s="2">
        <f>IF(C86&lt;150,C86,C86/2)</f>
        <v>119.20000000000002</v>
      </c>
      <c r="I86" s="2">
        <f t="shared" si="4"/>
        <v>11.920000000000002</v>
      </c>
      <c r="J86" s="2">
        <f t="shared" si="5"/>
        <v>131.12</v>
      </c>
      <c r="K86" s="2">
        <v>119.2</v>
      </c>
      <c r="L86" s="2" t="s">
        <v>134</v>
      </c>
      <c r="M86" s="2" t="s">
        <v>145</v>
      </c>
      <c r="N86" s="2"/>
    </row>
    <row r="87" spans="1:14" x14ac:dyDescent="0.35">
      <c r="A87" s="2" t="s">
        <v>90</v>
      </c>
      <c r="B87" s="2" t="s">
        <v>73</v>
      </c>
      <c r="C87" s="2">
        <v>238.40000000000003</v>
      </c>
      <c r="D87" s="2">
        <v>2</v>
      </c>
      <c r="E87" s="3">
        <v>0.54166666666666674</v>
      </c>
      <c r="F87" s="2"/>
      <c r="G87" s="2">
        <f t="shared" si="3"/>
        <v>0</v>
      </c>
      <c r="H87" s="2">
        <f>IF(C87&lt;150,C87,C87/2)</f>
        <v>119.20000000000002</v>
      </c>
      <c r="I87" s="2">
        <f t="shared" si="4"/>
        <v>11.920000000000002</v>
      </c>
      <c r="J87" s="2">
        <f t="shared" si="5"/>
        <v>131.12</v>
      </c>
      <c r="K87" s="2">
        <v>119.2</v>
      </c>
      <c r="L87" s="2" t="s">
        <v>134</v>
      </c>
      <c r="M87" s="2" t="s">
        <v>145</v>
      </c>
      <c r="N87" s="2"/>
    </row>
    <row r="88" spans="1:14" x14ac:dyDescent="0.35">
      <c r="A88" s="2" t="s">
        <v>90</v>
      </c>
      <c r="B88" s="2" t="s">
        <v>74</v>
      </c>
      <c r="C88" s="2">
        <v>238.40000000000003</v>
      </c>
      <c r="D88" s="2">
        <v>2</v>
      </c>
      <c r="E88" s="3">
        <v>0.54166666666666652</v>
      </c>
      <c r="F88" s="2"/>
      <c r="G88" s="2">
        <f t="shared" si="3"/>
        <v>0</v>
      </c>
      <c r="H88" s="2">
        <f>IF(C88&lt;150,C88,C88/2)</f>
        <v>119.20000000000002</v>
      </c>
      <c r="I88" s="2">
        <f t="shared" si="4"/>
        <v>11.920000000000002</v>
      </c>
      <c r="J88" s="2">
        <f t="shared" si="5"/>
        <v>131.12</v>
      </c>
      <c r="K88" s="2">
        <v>119.2</v>
      </c>
      <c r="L88" s="2" t="s">
        <v>134</v>
      </c>
      <c r="M88" s="2" t="s">
        <v>145</v>
      </c>
      <c r="N88" s="2"/>
    </row>
    <row r="89" spans="1:14" x14ac:dyDescent="0.35">
      <c r="A89" s="2" t="s">
        <v>16</v>
      </c>
      <c r="B89" s="2" t="s">
        <v>2</v>
      </c>
      <c r="C89" s="2">
        <v>120</v>
      </c>
      <c r="D89" s="2">
        <v>1</v>
      </c>
      <c r="E89" s="3">
        <v>0.28125000000000011</v>
      </c>
      <c r="F89" s="2"/>
      <c r="G89" s="2">
        <f t="shared" si="3"/>
        <v>0</v>
      </c>
      <c r="H89" s="2">
        <f>IF(C89&lt;150,C89,C89/2)</f>
        <v>120</v>
      </c>
      <c r="I89" s="2">
        <f t="shared" si="4"/>
        <v>12</v>
      </c>
      <c r="J89" s="2">
        <f t="shared" si="5"/>
        <v>132</v>
      </c>
      <c r="K89" s="2">
        <v>120</v>
      </c>
      <c r="L89" s="2" t="s">
        <v>134</v>
      </c>
      <c r="M89" s="2" t="s">
        <v>153</v>
      </c>
      <c r="N89" s="2"/>
    </row>
    <row r="90" spans="1:14" x14ac:dyDescent="0.35">
      <c r="A90" s="2" t="s">
        <v>16</v>
      </c>
      <c r="B90" s="2" t="s">
        <v>3</v>
      </c>
      <c r="C90" s="2">
        <v>120</v>
      </c>
      <c r="D90" s="2">
        <v>1</v>
      </c>
      <c r="E90" s="3">
        <v>0.27430555555555547</v>
      </c>
      <c r="F90" s="2"/>
      <c r="G90" s="2">
        <f t="shared" si="3"/>
        <v>0</v>
      </c>
      <c r="H90" s="2">
        <f>IF(C90&lt;150,C90,C90/2)</f>
        <v>120</v>
      </c>
      <c r="I90" s="2">
        <f t="shared" si="4"/>
        <v>12</v>
      </c>
      <c r="J90" s="2">
        <f t="shared" si="5"/>
        <v>132</v>
      </c>
      <c r="K90" s="2">
        <v>120</v>
      </c>
      <c r="L90" s="2" t="s">
        <v>134</v>
      </c>
      <c r="M90" s="2" t="s">
        <v>153</v>
      </c>
      <c r="N90" s="2"/>
    </row>
    <row r="91" spans="1:14" x14ac:dyDescent="0.35">
      <c r="A91" s="2" t="s">
        <v>16</v>
      </c>
      <c r="B91" s="2" t="s">
        <v>4</v>
      </c>
      <c r="C91" s="2">
        <v>120</v>
      </c>
      <c r="D91" s="2">
        <v>1</v>
      </c>
      <c r="E91" s="3">
        <v>0.28125</v>
      </c>
      <c r="F91" s="2"/>
      <c r="G91" s="2">
        <f t="shared" si="3"/>
        <v>0</v>
      </c>
      <c r="H91" s="2">
        <f>IF(C91&lt;150,C91,C91/2)</f>
        <v>120</v>
      </c>
      <c r="I91" s="2">
        <f t="shared" si="4"/>
        <v>12</v>
      </c>
      <c r="J91" s="2">
        <f t="shared" si="5"/>
        <v>132</v>
      </c>
      <c r="K91" s="2">
        <v>120</v>
      </c>
      <c r="L91" s="2" t="s">
        <v>134</v>
      </c>
      <c r="M91" s="2" t="s">
        <v>153</v>
      </c>
      <c r="N91" s="2"/>
    </row>
    <row r="92" spans="1:14" x14ac:dyDescent="0.35">
      <c r="A92" s="2" t="s">
        <v>16</v>
      </c>
      <c r="B92" s="2" t="s">
        <v>5</v>
      </c>
      <c r="C92" s="2">
        <v>120</v>
      </c>
      <c r="D92" s="2">
        <v>1</v>
      </c>
      <c r="E92" s="3">
        <v>0.27430555555555547</v>
      </c>
      <c r="F92" s="2"/>
      <c r="G92" s="2">
        <f t="shared" si="3"/>
        <v>0</v>
      </c>
      <c r="H92" s="2">
        <f>IF(C92&lt;150,C92,C92/2)</f>
        <v>120</v>
      </c>
      <c r="I92" s="2">
        <f t="shared" si="4"/>
        <v>12</v>
      </c>
      <c r="J92" s="2">
        <f t="shared" si="5"/>
        <v>132</v>
      </c>
      <c r="K92" s="2">
        <v>120</v>
      </c>
      <c r="L92" s="2" t="s">
        <v>134</v>
      </c>
      <c r="M92" s="2" t="s">
        <v>153</v>
      </c>
      <c r="N92" s="2"/>
    </row>
    <row r="93" spans="1:14" x14ac:dyDescent="0.35">
      <c r="A93" s="2" t="s">
        <v>16</v>
      </c>
      <c r="B93" s="2" t="s">
        <v>6</v>
      </c>
      <c r="C93" s="2">
        <v>120</v>
      </c>
      <c r="D93" s="2">
        <v>1</v>
      </c>
      <c r="E93" s="3">
        <v>0.27430555555555558</v>
      </c>
      <c r="F93" s="2"/>
      <c r="G93" s="2">
        <f t="shared" si="3"/>
        <v>0</v>
      </c>
      <c r="H93" s="2">
        <f>IF(C93&lt;150,C93,C93/2)</f>
        <v>120</v>
      </c>
      <c r="I93" s="2">
        <f t="shared" si="4"/>
        <v>12</v>
      </c>
      <c r="J93" s="2">
        <f t="shared" si="5"/>
        <v>132</v>
      </c>
      <c r="K93" s="2">
        <v>120</v>
      </c>
      <c r="L93" s="2" t="s">
        <v>134</v>
      </c>
      <c r="M93" s="2" t="s">
        <v>153</v>
      </c>
      <c r="N93" s="2"/>
    </row>
    <row r="94" spans="1:14" x14ac:dyDescent="0.35">
      <c r="A94" s="2" t="s">
        <v>90</v>
      </c>
      <c r="B94" s="2" t="s">
        <v>40</v>
      </c>
      <c r="C94" s="2">
        <v>257.8</v>
      </c>
      <c r="D94" s="2">
        <v>2</v>
      </c>
      <c r="E94" s="3">
        <v>0.58333333333333315</v>
      </c>
      <c r="F94" s="2"/>
      <c r="G94" s="2">
        <f t="shared" si="3"/>
        <v>0</v>
      </c>
      <c r="H94" s="2">
        <f>IF(C94&lt;150,C94,C94/2)</f>
        <v>128.9</v>
      </c>
      <c r="I94" s="2">
        <f t="shared" si="4"/>
        <v>12.89</v>
      </c>
      <c r="J94" s="2">
        <f t="shared" si="5"/>
        <v>141.79000000000002</v>
      </c>
      <c r="K94" s="2">
        <v>128.9</v>
      </c>
      <c r="L94" s="2" t="s">
        <v>134</v>
      </c>
      <c r="M94" s="2" t="s">
        <v>141</v>
      </c>
      <c r="N94" s="2"/>
    </row>
    <row r="95" spans="1:14" x14ac:dyDescent="0.35">
      <c r="A95" s="2" t="s">
        <v>90</v>
      </c>
      <c r="B95" s="2" t="s">
        <v>41</v>
      </c>
      <c r="C95" s="2">
        <v>257.8</v>
      </c>
      <c r="D95" s="2">
        <v>3</v>
      </c>
      <c r="E95" s="3">
        <v>0.58333333333333315</v>
      </c>
      <c r="F95" s="2"/>
      <c r="G95" s="2">
        <f t="shared" si="3"/>
        <v>0</v>
      </c>
      <c r="H95" s="2">
        <f>IF(C95&lt;150,C95,C95/2)</f>
        <v>128.9</v>
      </c>
      <c r="I95" s="2">
        <f t="shared" si="4"/>
        <v>12.89</v>
      </c>
      <c r="J95" s="2">
        <f t="shared" si="5"/>
        <v>141.79000000000002</v>
      </c>
      <c r="K95" s="2">
        <v>128.9</v>
      </c>
      <c r="L95" s="2" t="s">
        <v>134</v>
      </c>
      <c r="M95" s="2" t="s">
        <v>141</v>
      </c>
      <c r="N95" s="2"/>
    </row>
    <row r="96" spans="1:14" x14ac:dyDescent="0.35">
      <c r="A96" s="2" t="s">
        <v>90</v>
      </c>
      <c r="B96" s="2" t="s">
        <v>42</v>
      </c>
      <c r="C96" s="2">
        <v>257.8</v>
      </c>
      <c r="D96" s="2">
        <v>2</v>
      </c>
      <c r="E96" s="3">
        <v>0.58333333333333337</v>
      </c>
      <c r="F96" s="2"/>
      <c r="G96" s="2">
        <f t="shared" si="3"/>
        <v>0</v>
      </c>
      <c r="H96" s="2">
        <f>IF(C96&lt;150,C96,C96/2)</f>
        <v>128.9</v>
      </c>
      <c r="I96" s="2">
        <f t="shared" si="4"/>
        <v>12.89</v>
      </c>
      <c r="J96" s="2">
        <f t="shared" si="5"/>
        <v>141.79000000000002</v>
      </c>
      <c r="K96" s="2">
        <v>128.9</v>
      </c>
      <c r="L96" s="2" t="s">
        <v>134</v>
      </c>
      <c r="M96" s="2" t="s">
        <v>141</v>
      </c>
      <c r="N96" s="2"/>
    </row>
    <row r="97" spans="1:14" x14ac:dyDescent="0.35">
      <c r="A97" s="2" t="s">
        <v>90</v>
      </c>
      <c r="B97" s="2" t="s">
        <v>43</v>
      </c>
      <c r="C97" s="2">
        <v>257.8</v>
      </c>
      <c r="D97" s="2">
        <v>2</v>
      </c>
      <c r="E97" s="3">
        <v>0.58333333333333337</v>
      </c>
      <c r="F97" s="2"/>
      <c r="G97" s="2">
        <f t="shared" si="3"/>
        <v>0</v>
      </c>
      <c r="H97" s="2">
        <f>IF(C97&lt;150,C97,C97/2)</f>
        <v>128.9</v>
      </c>
      <c r="I97" s="2">
        <f t="shared" si="4"/>
        <v>12.89</v>
      </c>
      <c r="J97" s="2">
        <f t="shared" si="5"/>
        <v>141.79000000000002</v>
      </c>
      <c r="K97" s="2">
        <v>128.9</v>
      </c>
      <c r="L97" s="2" t="s">
        <v>134</v>
      </c>
      <c r="M97" s="2" t="s">
        <v>141</v>
      </c>
      <c r="N97" s="2"/>
    </row>
    <row r="98" spans="1:14" x14ac:dyDescent="0.35">
      <c r="A98" s="2" t="s">
        <v>90</v>
      </c>
      <c r="B98" s="2" t="s">
        <v>44</v>
      </c>
      <c r="C98" s="2">
        <v>257.8</v>
      </c>
      <c r="D98" s="2">
        <v>2</v>
      </c>
      <c r="E98" s="3">
        <v>0.58333333333333348</v>
      </c>
      <c r="F98" s="2"/>
      <c r="G98" s="2">
        <f t="shared" si="3"/>
        <v>0</v>
      </c>
      <c r="H98" s="2">
        <f>IF(C98&lt;150,C98,C98/2)</f>
        <v>128.9</v>
      </c>
      <c r="I98" s="2">
        <f t="shared" si="4"/>
        <v>12.89</v>
      </c>
      <c r="J98" s="2">
        <f t="shared" si="5"/>
        <v>141.79000000000002</v>
      </c>
      <c r="K98" s="2">
        <v>128.9</v>
      </c>
      <c r="L98" s="2" t="s">
        <v>134</v>
      </c>
      <c r="M98" s="2" t="s">
        <v>141</v>
      </c>
      <c r="N98" s="2"/>
    </row>
    <row r="99" spans="1:14" x14ac:dyDescent="0.35">
      <c r="A99" s="2" t="s">
        <v>90</v>
      </c>
      <c r="B99" s="2" t="s">
        <v>45</v>
      </c>
      <c r="C99" s="2">
        <v>257.8</v>
      </c>
      <c r="D99" s="2">
        <v>2</v>
      </c>
      <c r="E99" s="3">
        <v>0.58333333333333348</v>
      </c>
      <c r="F99" s="2"/>
      <c r="G99" s="2">
        <f t="shared" si="3"/>
        <v>0</v>
      </c>
      <c r="H99" s="2">
        <f>IF(C99&lt;150,C99,C99/2)</f>
        <v>128.9</v>
      </c>
      <c r="I99" s="2">
        <f t="shared" si="4"/>
        <v>12.89</v>
      </c>
      <c r="J99" s="2">
        <f t="shared" si="5"/>
        <v>141.79000000000002</v>
      </c>
      <c r="K99" s="2">
        <v>128.9</v>
      </c>
      <c r="L99" s="2" t="s">
        <v>134</v>
      </c>
      <c r="M99" s="2" t="s">
        <v>141</v>
      </c>
      <c r="N99" s="2"/>
    </row>
    <row r="100" spans="1:14" x14ac:dyDescent="0.35">
      <c r="A100" s="2" t="s">
        <v>90</v>
      </c>
      <c r="B100" s="2" t="s">
        <v>46</v>
      </c>
      <c r="C100" s="2">
        <v>257.8</v>
      </c>
      <c r="D100" s="2">
        <v>2</v>
      </c>
      <c r="E100" s="3">
        <v>0.58333333333333337</v>
      </c>
      <c r="F100" s="2"/>
      <c r="G100" s="2">
        <f t="shared" si="3"/>
        <v>0</v>
      </c>
      <c r="H100" s="2">
        <f>IF(C100&lt;150,C100,C100/2)</f>
        <v>128.9</v>
      </c>
      <c r="I100" s="2">
        <f t="shared" si="4"/>
        <v>12.89</v>
      </c>
      <c r="J100" s="2">
        <f t="shared" si="5"/>
        <v>141.79000000000002</v>
      </c>
      <c r="K100" s="2">
        <v>128.9</v>
      </c>
      <c r="L100" s="2" t="s">
        <v>134</v>
      </c>
      <c r="M100" s="2" t="s">
        <v>141</v>
      </c>
      <c r="N100" s="2"/>
    </row>
    <row r="101" spans="1:14" x14ac:dyDescent="0.35">
      <c r="A101" s="2" t="s">
        <v>90</v>
      </c>
      <c r="B101" s="2" t="s">
        <v>47</v>
      </c>
      <c r="C101" s="2">
        <v>257.8</v>
      </c>
      <c r="D101" s="2">
        <v>2</v>
      </c>
      <c r="E101" s="3">
        <v>0.54861111111111116</v>
      </c>
      <c r="F101" s="2"/>
      <c r="G101" s="2">
        <f t="shared" si="3"/>
        <v>0</v>
      </c>
      <c r="H101" s="2">
        <f>IF(C101&lt;150,C101,C101/2)</f>
        <v>128.9</v>
      </c>
      <c r="I101" s="2">
        <f t="shared" si="4"/>
        <v>12.89</v>
      </c>
      <c r="J101" s="2">
        <f t="shared" si="5"/>
        <v>141.79000000000002</v>
      </c>
      <c r="K101" s="2">
        <v>128.9</v>
      </c>
      <c r="L101" s="2" t="s">
        <v>134</v>
      </c>
      <c r="M101" s="2" t="s">
        <v>141</v>
      </c>
      <c r="N101" s="2"/>
    </row>
    <row r="102" spans="1:14" x14ac:dyDescent="0.35">
      <c r="A102" s="2" t="s">
        <v>90</v>
      </c>
      <c r="B102" s="2" t="s">
        <v>48</v>
      </c>
      <c r="C102" s="2">
        <v>257.8</v>
      </c>
      <c r="D102" s="2">
        <v>2</v>
      </c>
      <c r="E102" s="3">
        <v>0.54861111111111116</v>
      </c>
      <c r="F102" s="2"/>
      <c r="G102" s="2">
        <f t="shared" si="3"/>
        <v>0</v>
      </c>
      <c r="H102" s="2">
        <f>IF(C102&lt;150,C102,C102/2)</f>
        <v>128.9</v>
      </c>
      <c r="I102" s="2">
        <f t="shared" si="4"/>
        <v>12.89</v>
      </c>
      <c r="J102" s="2">
        <f t="shared" si="5"/>
        <v>141.79000000000002</v>
      </c>
      <c r="K102" s="2">
        <v>128.9</v>
      </c>
      <c r="L102" s="2" t="s">
        <v>134</v>
      </c>
      <c r="M102" s="2" t="s">
        <v>141</v>
      </c>
      <c r="N102" s="2"/>
    </row>
    <row r="103" spans="1:14" x14ac:dyDescent="0.35">
      <c r="A103" s="2" t="s">
        <v>90</v>
      </c>
      <c r="B103" s="2" t="s">
        <v>33</v>
      </c>
      <c r="C103" s="2">
        <v>290</v>
      </c>
      <c r="D103" s="2">
        <v>2</v>
      </c>
      <c r="E103" s="3">
        <v>0.5381944444444442</v>
      </c>
      <c r="F103" s="2">
        <v>1</v>
      </c>
      <c r="G103" s="2">
        <f t="shared" si="3"/>
        <v>1</v>
      </c>
      <c r="H103" s="2">
        <f>IF(C103&lt;150,C103,C103/2)</f>
        <v>145</v>
      </c>
      <c r="I103" s="2">
        <f t="shared" si="4"/>
        <v>14.5</v>
      </c>
      <c r="J103" s="2">
        <f t="shared" si="5"/>
        <v>159.5</v>
      </c>
      <c r="K103" s="2">
        <v>132.19999999999999</v>
      </c>
      <c r="L103" s="2" t="s">
        <v>134</v>
      </c>
      <c r="M103" s="2" t="s">
        <v>139</v>
      </c>
      <c r="N103" s="2"/>
    </row>
    <row r="104" spans="1:14" x14ac:dyDescent="0.35">
      <c r="A104" s="2" t="s">
        <v>90</v>
      </c>
      <c r="B104" s="2" t="s">
        <v>35</v>
      </c>
      <c r="C104" s="2">
        <v>290</v>
      </c>
      <c r="D104" s="2">
        <v>2</v>
      </c>
      <c r="E104" s="3">
        <v>0.54513888888888895</v>
      </c>
      <c r="F104" s="2">
        <v>1</v>
      </c>
      <c r="G104" s="2">
        <f t="shared" si="3"/>
        <v>1</v>
      </c>
      <c r="H104" s="2">
        <f>IF(C104&lt;150,C104,C104/2)</f>
        <v>145</v>
      </c>
      <c r="I104" s="2">
        <f t="shared" si="4"/>
        <v>14.5</v>
      </c>
      <c r="J104" s="2">
        <f t="shared" si="5"/>
        <v>159.5</v>
      </c>
      <c r="K104" s="2">
        <v>132.19999999999999</v>
      </c>
      <c r="L104" s="2" t="s">
        <v>134</v>
      </c>
      <c r="M104" s="2" t="s">
        <v>139</v>
      </c>
      <c r="N104" s="2"/>
    </row>
    <row r="105" spans="1:14" x14ac:dyDescent="0.35">
      <c r="A105" s="2" t="s">
        <v>90</v>
      </c>
      <c r="B105" s="2" t="s">
        <v>36</v>
      </c>
      <c r="C105" s="2">
        <v>290</v>
      </c>
      <c r="D105" s="2">
        <v>2</v>
      </c>
      <c r="E105" s="3">
        <v>0.53819444444444453</v>
      </c>
      <c r="F105" s="2">
        <v>1</v>
      </c>
      <c r="G105" s="2">
        <f t="shared" si="3"/>
        <v>1</v>
      </c>
      <c r="H105" s="2">
        <f>IF(C105&lt;150,C105,C105/2)</f>
        <v>145</v>
      </c>
      <c r="I105" s="2">
        <f t="shared" si="4"/>
        <v>14.5</v>
      </c>
      <c r="J105" s="2">
        <f t="shared" si="5"/>
        <v>159.5</v>
      </c>
      <c r="K105" s="2">
        <v>132.19999999999999</v>
      </c>
      <c r="L105" s="2" t="s">
        <v>134</v>
      </c>
      <c r="M105" s="2" t="s">
        <v>139</v>
      </c>
      <c r="N105" s="2"/>
    </row>
    <row r="106" spans="1:14" x14ac:dyDescent="0.35">
      <c r="A106" s="2" t="s">
        <v>17</v>
      </c>
      <c r="B106" s="2" t="s">
        <v>2</v>
      </c>
      <c r="C106" s="2">
        <v>133.6</v>
      </c>
      <c r="D106" s="2">
        <v>1</v>
      </c>
      <c r="E106" s="3">
        <v>0.27777777777777779</v>
      </c>
      <c r="F106" s="2"/>
      <c r="G106" s="2">
        <f t="shared" si="3"/>
        <v>0</v>
      </c>
      <c r="H106" s="2">
        <f>IF(C106&lt;150,C106,C106/2)</f>
        <v>133.6</v>
      </c>
      <c r="I106" s="2">
        <f t="shared" si="4"/>
        <v>13.36</v>
      </c>
      <c r="J106" s="2">
        <f t="shared" si="5"/>
        <v>146.95999999999998</v>
      </c>
      <c r="K106" s="2">
        <v>133.6</v>
      </c>
      <c r="L106" s="2" t="s">
        <v>134</v>
      </c>
      <c r="M106" s="2" t="s">
        <v>151</v>
      </c>
      <c r="N106" s="2"/>
    </row>
    <row r="107" spans="1:14" x14ac:dyDescent="0.35">
      <c r="A107" s="2" t="s">
        <v>17</v>
      </c>
      <c r="B107" s="2" t="s">
        <v>3</v>
      </c>
      <c r="C107" s="2">
        <v>133.6</v>
      </c>
      <c r="D107" s="2">
        <v>1</v>
      </c>
      <c r="E107" s="3">
        <v>0.27777777777777779</v>
      </c>
      <c r="F107" s="2"/>
      <c r="G107" s="2">
        <f t="shared" si="3"/>
        <v>0</v>
      </c>
      <c r="H107" s="2">
        <f>IF(C107&lt;150,C107,C107/2)</f>
        <v>133.6</v>
      </c>
      <c r="I107" s="2">
        <f t="shared" si="4"/>
        <v>13.36</v>
      </c>
      <c r="J107" s="2">
        <f t="shared" si="5"/>
        <v>146.95999999999998</v>
      </c>
      <c r="K107" s="2">
        <v>133.6</v>
      </c>
      <c r="L107" s="2" t="s">
        <v>134</v>
      </c>
      <c r="M107" s="2" t="s">
        <v>151</v>
      </c>
      <c r="N107" s="2"/>
    </row>
    <row r="108" spans="1:14" x14ac:dyDescent="0.35">
      <c r="A108" s="2" t="s">
        <v>17</v>
      </c>
      <c r="B108" s="2" t="s">
        <v>4</v>
      </c>
      <c r="C108" s="2">
        <v>133.6</v>
      </c>
      <c r="D108" s="2">
        <v>1</v>
      </c>
      <c r="E108" s="3">
        <v>0.27777777777777773</v>
      </c>
      <c r="F108" s="2"/>
      <c r="G108" s="2">
        <f t="shared" si="3"/>
        <v>0</v>
      </c>
      <c r="H108" s="2">
        <f>IF(C108&lt;150,C108,C108/2)</f>
        <v>133.6</v>
      </c>
      <c r="I108" s="2">
        <f t="shared" si="4"/>
        <v>13.36</v>
      </c>
      <c r="J108" s="2">
        <f t="shared" si="5"/>
        <v>146.95999999999998</v>
      </c>
      <c r="K108" s="2">
        <v>133.6</v>
      </c>
      <c r="L108" s="2" t="s">
        <v>134</v>
      </c>
      <c r="M108" s="2" t="s">
        <v>151</v>
      </c>
      <c r="N108" s="2"/>
    </row>
    <row r="109" spans="1:14" x14ac:dyDescent="0.35">
      <c r="A109" s="2" t="s">
        <v>17</v>
      </c>
      <c r="B109" s="2" t="s">
        <v>14</v>
      </c>
      <c r="C109" s="2">
        <v>133.6</v>
      </c>
      <c r="D109" s="2">
        <v>1</v>
      </c>
      <c r="E109" s="3">
        <v>0.27777777777777779</v>
      </c>
      <c r="F109" s="2"/>
      <c r="G109" s="2">
        <f t="shared" si="3"/>
        <v>0</v>
      </c>
      <c r="H109" s="2">
        <f>IF(C109&lt;150,C109,C109/2)</f>
        <v>133.6</v>
      </c>
      <c r="I109" s="2">
        <f t="shared" si="4"/>
        <v>13.36</v>
      </c>
      <c r="J109" s="2">
        <f t="shared" si="5"/>
        <v>146.95999999999998</v>
      </c>
      <c r="K109" s="2">
        <v>133.6</v>
      </c>
      <c r="L109" s="2" t="s">
        <v>134</v>
      </c>
      <c r="M109" s="2" t="s">
        <v>151</v>
      </c>
      <c r="N109" s="2"/>
    </row>
    <row r="110" spans="1:14" x14ac:dyDescent="0.35">
      <c r="A110" s="2" t="s">
        <v>17</v>
      </c>
      <c r="B110" s="2" t="s">
        <v>6</v>
      </c>
      <c r="C110" s="2">
        <v>133.6</v>
      </c>
      <c r="D110" s="2">
        <v>1</v>
      </c>
      <c r="E110" s="3">
        <v>0.27777777777777785</v>
      </c>
      <c r="F110" s="2"/>
      <c r="G110" s="2">
        <f t="shared" si="3"/>
        <v>0</v>
      </c>
      <c r="H110" s="2">
        <f>IF(C110&lt;150,C110,C110/2)</f>
        <v>133.6</v>
      </c>
      <c r="I110" s="2">
        <f t="shared" si="4"/>
        <v>13.36</v>
      </c>
      <c r="J110" s="2">
        <f t="shared" si="5"/>
        <v>146.95999999999998</v>
      </c>
      <c r="K110" s="2">
        <v>133.6</v>
      </c>
      <c r="L110" s="2" t="s">
        <v>134</v>
      </c>
      <c r="M110" s="2" t="s">
        <v>151</v>
      </c>
      <c r="N110" s="2"/>
    </row>
    <row r="111" spans="1:14" x14ac:dyDescent="0.35">
      <c r="A111" s="2" t="s">
        <v>90</v>
      </c>
      <c r="B111" s="2" t="s">
        <v>51</v>
      </c>
      <c r="C111" s="2">
        <v>265.5</v>
      </c>
      <c r="D111" s="2">
        <v>3</v>
      </c>
      <c r="E111" s="3">
        <v>0.51736111111111116</v>
      </c>
      <c r="F111" s="2"/>
      <c r="G111" s="2">
        <f t="shared" si="3"/>
        <v>0</v>
      </c>
      <c r="H111" s="2">
        <f>IF(C111&lt;150,C111,C111/2)</f>
        <v>132.75</v>
      </c>
      <c r="I111" s="2">
        <f t="shared" si="4"/>
        <v>13.275</v>
      </c>
      <c r="J111" s="2">
        <f t="shared" si="5"/>
        <v>146.02500000000001</v>
      </c>
      <c r="K111" s="2">
        <v>135</v>
      </c>
      <c r="L111" s="2" t="s">
        <v>134</v>
      </c>
      <c r="M111" s="2" t="s">
        <v>144</v>
      </c>
      <c r="N111" s="2"/>
    </row>
    <row r="112" spans="1:14" x14ac:dyDescent="0.35">
      <c r="A112" s="2" t="s">
        <v>90</v>
      </c>
      <c r="B112" s="2" t="s">
        <v>52</v>
      </c>
      <c r="C112" s="2">
        <v>265.5</v>
      </c>
      <c r="D112" s="2">
        <v>3</v>
      </c>
      <c r="E112" s="3">
        <v>0.51388888888888884</v>
      </c>
      <c r="F112" s="2"/>
      <c r="G112" s="2">
        <f t="shared" si="3"/>
        <v>0</v>
      </c>
      <c r="H112" s="2">
        <f>IF(C112&lt;150,C112,C112/2)</f>
        <v>132.75</v>
      </c>
      <c r="I112" s="2">
        <f t="shared" si="4"/>
        <v>13.275</v>
      </c>
      <c r="J112" s="2">
        <f t="shared" si="5"/>
        <v>146.02500000000001</v>
      </c>
      <c r="K112" s="2">
        <v>135</v>
      </c>
      <c r="L112" s="2" t="s">
        <v>134</v>
      </c>
      <c r="M112" s="2" t="s">
        <v>144</v>
      </c>
      <c r="N112" s="2"/>
    </row>
    <row r="113" spans="1:14" x14ac:dyDescent="0.35">
      <c r="A113" s="2" t="s">
        <v>90</v>
      </c>
      <c r="B113" s="2" t="s">
        <v>38</v>
      </c>
      <c r="C113" s="2">
        <v>251.99999999999991</v>
      </c>
      <c r="D113" s="2">
        <v>3</v>
      </c>
      <c r="E113" s="3">
        <v>0.50347222222222243</v>
      </c>
      <c r="F113" s="2"/>
      <c r="G113" s="2">
        <f t="shared" si="3"/>
        <v>0</v>
      </c>
      <c r="H113" s="2">
        <f>IF(C113&lt;150,C113,C113/2)</f>
        <v>125.99999999999996</v>
      </c>
      <c r="I113" s="2">
        <f t="shared" si="4"/>
        <v>12.599999999999996</v>
      </c>
      <c r="J113" s="2">
        <f t="shared" si="5"/>
        <v>138.59999999999997</v>
      </c>
      <c r="K113" s="2">
        <v>137.19999999999999</v>
      </c>
      <c r="L113" s="2" t="s">
        <v>134</v>
      </c>
      <c r="M113" s="2" t="s">
        <v>140</v>
      </c>
      <c r="N113" s="2"/>
    </row>
    <row r="114" spans="1:14" x14ac:dyDescent="0.35">
      <c r="A114" s="2" t="s">
        <v>16</v>
      </c>
      <c r="B114" s="2" t="s">
        <v>0</v>
      </c>
      <c r="C114" s="2">
        <v>137.19999999999999</v>
      </c>
      <c r="D114" s="2"/>
      <c r="E114" s="3">
        <v>0.26736111111111116</v>
      </c>
      <c r="F114" s="2"/>
      <c r="G114" s="2">
        <f t="shared" si="3"/>
        <v>0</v>
      </c>
      <c r="H114" s="2">
        <f>IF(C114&lt;150,C114,C114/2)</f>
        <v>137.19999999999999</v>
      </c>
      <c r="I114" s="2">
        <f t="shared" si="4"/>
        <v>13.719999999999999</v>
      </c>
      <c r="J114" s="2">
        <f t="shared" si="5"/>
        <v>150.91999999999999</v>
      </c>
      <c r="K114" s="2">
        <v>137.19999999999999</v>
      </c>
      <c r="L114" s="2" t="s">
        <v>134</v>
      </c>
      <c r="M114" s="2"/>
      <c r="N114" s="2"/>
    </row>
    <row r="115" spans="1:14" x14ac:dyDescent="0.35">
      <c r="A115" s="2" t="s">
        <v>16</v>
      </c>
      <c r="B115" s="2" t="s">
        <v>1</v>
      </c>
      <c r="C115" s="2">
        <v>137.19999999999999</v>
      </c>
      <c r="D115" s="2">
        <v>1</v>
      </c>
      <c r="E115" s="3">
        <v>0.26736111111111105</v>
      </c>
      <c r="F115" s="2"/>
      <c r="G115" s="2">
        <f t="shared" si="3"/>
        <v>0</v>
      </c>
      <c r="H115" s="2">
        <f>IF(C115&lt;150,C115,C115/2)</f>
        <v>137.19999999999999</v>
      </c>
      <c r="I115" s="2">
        <f t="shared" si="4"/>
        <v>13.719999999999999</v>
      </c>
      <c r="J115" s="2">
        <f t="shared" si="5"/>
        <v>150.91999999999999</v>
      </c>
      <c r="K115" s="2">
        <v>137.19999999999999</v>
      </c>
      <c r="L115" s="2" t="s">
        <v>134</v>
      </c>
      <c r="M115" s="2" t="s">
        <v>152</v>
      </c>
      <c r="N115" s="2"/>
    </row>
    <row r="116" spans="1:14" x14ac:dyDescent="0.35">
      <c r="A116" s="2" t="s">
        <v>90</v>
      </c>
      <c r="B116" s="2" t="s">
        <v>39</v>
      </c>
      <c r="C116" s="2">
        <v>251.99999999999991</v>
      </c>
      <c r="D116" s="2">
        <v>2</v>
      </c>
      <c r="E116" s="3">
        <v>0.49999999999999994</v>
      </c>
      <c r="F116" s="2"/>
      <c r="G116" s="2">
        <f t="shared" si="3"/>
        <v>0</v>
      </c>
      <c r="H116" s="2">
        <f>IF(C116&lt;150,C116,C116/2)</f>
        <v>125.99999999999996</v>
      </c>
      <c r="I116" s="2">
        <f t="shared" si="4"/>
        <v>12.599999999999996</v>
      </c>
      <c r="J116" s="2">
        <f t="shared" si="5"/>
        <v>138.59999999999997</v>
      </c>
      <c r="K116" s="2">
        <v>137.19999999999999</v>
      </c>
      <c r="L116" s="2" t="s">
        <v>134</v>
      </c>
      <c r="M116" s="2" t="s">
        <v>140</v>
      </c>
      <c r="N116" s="2"/>
    </row>
    <row r="117" spans="1:14" x14ac:dyDescent="0.35">
      <c r="A117" s="2" t="s">
        <v>90</v>
      </c>
      <c r="B117" s="2" t="s">
        <v>49</v>
      </c>
      <c r="C117" s="2">
        <v>283.8</v>
      </c>
      <c r="D117" s="2">
        <v>2</v>
      </c>
      <c r="E117" s="3">
        <v>0.51041666666666674</v>
      </c>
      <c r="F117" s="2"/>
      <c r="G117" s="2">
        <f t="shared" si="3"/>
        <v>0</v>
      </c>
      <c r="H117" s="2">
        <f>IF(C117&lt;150,C117,C117/2)</f>
        <v>141.9</v>
      </c>
      <c r="I117" s="2">
        <f t="shared" si="4"/>
        <v>14.190000000000001</v>
      </c>
      <c r="J117" s="2">
        <f t="shared" si="5"/>
        <v>156.09</v>
      </c>
      <c r="K117" s="2">
        <v>141.9</v>
      </c>
      <c r="L117" s="2" t="s">
        <v>134</v>
      </c>
      <c r="M117" s="2" t="s">
        <v>143</v>
      </c>
      <c r="N117" s="2"/>
    </row>
    <row r="118" spans="1:14" x14ac:dyDescent="0.35">
      <c r="A118" s="2" t="s">
        <v>90</v>
      </c>
      <c r="B118" s="2" t="s">
        <v>50</v>
      </c>
      <c r="C118" s="2">
        <v>283.8</v>
      </c>
      <c r="D118" s="2">
        <v>2</v>
      </c>
      <c r="E118" s="3">
        <v>0.51388888888888906</v>
      </c>
      <c r="F118" s="2"/>
      <c r="G118" s="2">
        <f t="shared" si="3"/>
        <v>0</v>
      </c>
      <c r="H118" s="2">
        <f>IF(C118&lt;150,C118,C118/2)</f>
        <v>141.9</v>
      </c>
      <c r="I118" s="2">
        <f t="shared" si="4"/>
        <v>14.190000000000001</v>
      </c>
      <c r="J118" s="2">
        <f t="shared" si="5"/>
        <v>156.09</v>
      </c>
      <c r="K118" s="2">
        <v>141.9</v>
      </c>
      <c r="L118" s="2" t="s">
        <v>134</v>
      </c>
      <c r="M118" s="2" t="s">
        <v>143</v>
      </c>
      <c r="N118" s="2"/>
    </row>
    <row r="119" spans="1:14" x14ac:dyDescent="0.35">
      <c r="A119" s="2" t="s">
        <v>90</v>
      </c>
      <c r="B119" s="2" t="s">
        <v>18</v>
      </c>
      <c r="C119" s="2">
        <v>291.39999999999998</v>
      </c>
      <c r="D119" s="2">
        <v>2</v>
      </c>
      <c r="E119" s="3">
        <v>0.54166666666666674</v>
      </c>
      <c r="F119" s="2"/>
      <c r="G119" s="2">
        <f t="shared" si="3"/>
        <v>0</v>
      </c>
      <c r="H119" s="2">
        <f>IF(C119&lt;150,C119,C119/2)</f>
        <v>145.69999999999999</v>
      </c>
      <c r="I119" s="2">
        <f t="shared" si="4"/>
        <v>14.57</v>
      </c>
      <c r="J119" s="2">
        <f t="shared" si="5"/>
        <v>160.26999999999998</v>
      </c>
      <c r="K119" s="2">
        <v>145.69999999999999</v>
      </c>
      <c r="L119" s="2" t="s">
        <v>134</v>
      </c>
      <c r="M119" s="2" t="s">
        <v>138</v>
      </c>
      <c r="N119" s="2"/>
    </row>
    <row r="120" spans="1:14" x14ac:dyDescent="0.35">
      <c r="A120" s="2" t="s">
        <v>90</v>
      </c>
      <c r="B120" s="2" t="s">
        <v>20</v>
      </c>
      <c r="C120" s="2">
        <v>291.39999999999998</v>
      </c>
      <c r="D120" s="2">
        <v>3</v>
      </c>
      <c r="E120" s="3">
        <v>0.51041666666666696</v>
      </c>
      <c r="F120" s="2"/>
      <c r="G120" s="2">
        <f t="shared" si="3"/>
        <v>0</v>
      </c>
      <c r="H120" s="2">
        <f>IF(C120&lt;150,C120,C120/2)</f>
        <v>145.69999999999999</v>
      </c>
      <c r="I120" s="2">
        <f t="shared" si="4"/>
        <v>14.57</v>
      </c>
      <c r="J120" s="2">
        <f t="shared" si="5"/>
        <v>160.26999999999998</v>
      </c>
      <c r="K120" s="2">
        <v>145.69999999999999</v>
      </c>
      <c r="L120" s="2" t="s">
        <v>134</v>
      </c>
      <c r="M120" s="2" t="s">
        <v>138</v>
      </c>
      <c r="N120" s="2"/>
    </row>
    <row r="121" spans="1:14" x14ac:dyDescent="0.35">
      <c r="A121" s="2" t="s">
        <v>90</v>
      </c>
      <c r="B121" s="2" t="s">
        <v>22</v>
      </c>
      <c r="C121" s="2">
        <v>291.39999999999998</v>
      </c>
      <c r="D121" s="2">
        <v>3</v>
      </c>
      <c r="E121" s="3">
        <v>0.51041666666666663</v>
      </c>
      <c r="F121" s="2"/>
      <c r="G121" s="2">
        <f t="shared" si="3"/>
        <v>0</v>
      </c>
      <c r="H121" s="2">
        <f>IF(C121&lt;150,C121,C121/2)</f>
        <v>145.69999999999999</v>
      </c>
      <c r="I121" s="2">
        <f t="shared" si="4"/>
        <v>14.57</v>
      </c>
      <c r="J121" s="2">
        <f t="shared" si="5"/>
        <v>160.26999999999998</v>
      </c>
      <c r="K121" s="2">
        <v>145.69999999999999</v>
      </c>
      <c r="L121" s="2" t="s">
        <v>134</v>
      </c>
      <c r="M121" s="2" t="s">
        <v>138</v>
      </c>
      <c r="N121" s="2"/>
    </row>
    <row r="122" spans="1:14" x14ac:dyDescent="0.35">
      <c r="A122" s="2" t="s">
        <v>90</v>
      </c>
      <c r="B122" s="2" t="s">
        <v>24</v>
      </c>
      <c r="C122" s="2">
        <v>291.39999999999998</v>
      </c>
      <c r="D122" s="2">
        <v>3</v>
      </c>
      <c r="E122" s="3">
        <v>0.51041666666666674</v>
      </c>
      <c r="F122" s="2"/>
      <c r="G122" s="2">
        <f t="shared" si="3"/>
        <v>0</v>
      </c>
      <c r="H122" s="2">
        <f>IF(C122&lt;150,C122,C122/2)</f>
        <v>145.69999999999999</v>
      </c>
      <c r="I122" s="2">
        <f t="shared" si="4"/>
        <v>14.57</v>
      </c>
      <c r="J122" s="2">
        <f t="shared" si="5"/>
        <v>160.26999999999998</v>
      </c>
      <c r="K122" s="2">
        <v>145.69999999999999</v>
      </c>
      <c r="L122" s="2" t="s">
        <v>134</v>
      </c>
      <c r="M122" s="2" t="s">
        <v>138</v>
      </c>
      <c r="N122" s="2"/>
    </row>
    <row r="123" spans="1:14" x14ac:dyDescent="0.35">
      <c r="A123" s="2" t="s">
        <v>90</v>
      </c>
      <c r="B123" s="2" t="s">
        <v>27</v>
      </c>
      <c r="C123" s="2">
        <v>291.39999999999998</v>
      </c>
      <c r="D123" s="2">
        <v>3</v>
      </c>
      <c r="E123" s="3">
        <v>0.51041666666666696</v>
      </c>
      <c r="F123" s="2"/>
      <c r="G123" s="2">
        <f t="shared" si="3"/>
        <v>0</v>
      </c>
      <c r="H123" s="2">
        <f>IF(C123&lt;150,C123,C123/2)</f>
        <v>145.69999999999999</v>
      </c>
      <c r="I123" s="2">
        <f t="shared" si="4"/>
        <v>14.57</v>
      </c>
      <c r="J123" s="2">
        <f t="shared" si="5"/>
        <v>160.26999999999998</v>
      </c>
      <c r="K123" s="2">
        <v>145.69999999999999</v>
      </c>
      <c r="L123" s="2" t="s">
        <v>134</v>
      </c>
      <c r="M123" s="2" t="s">
        <v>138</v>
      </c>
      <c r="N123" s="2"/>
    </row>
    <row r="124" spans="1:14" x14ac:dyDescent="0.35">
      <c r="A124" s="2" t="s">
        <v>90</v>
      </c>
      <c r="B124" s="2" t="s">
        <v>30</v>
      </c>
      <c r="C124" s="2">
        <v>291.39999999999998</v>
      </c>
      <c r="D124" s="2">
        <v>3</v>
      </c>
      <c r="E124" s="3">
        <v>0.51041666666666663</v>
      </c>
      <c r="F124" s="2"/>
      <c r="G124" s="2">
        <f t="shared" si="3"/>
        <v>0</v>
      </c>
      <c r="H124" s="2">
        <f>IF(C124&lt;150,C124,C124/2)</f>
        <v>145.69999999999999</v>
      </c>
      <c r="I124" s="2">
        <f t="shared" si="4"/>
        <v>14.57</v>
      </c>
      <c r="J124" s="2">
        <f t="shared" si="5"/>
        <v>160.26999999999998</v>
      </c>
      <c r="K124" s="2">
        <v>145.69999999999999</v>
      </c>
      <c r="L124" s="2" t="s">
        <v>134</v>
      </c>
      <c r="M124" s="2" t="s">
        <v>138</v>
      </c>
      <c r="N124" s="2"/>
    </row>
    <row r="125" spans="1:14" x14ac:dyDescent="0.35">
      <c r="A125" s="2" t="s">
        <v>90</v>
      </c>
      <c r="B125" s="2" t="s">
        <v>31</v>
      </c>
      <c r="C125" s="2">
        <v>291.39999999999998</v>
      </c>
      <c r="D125" s="2">
        <v>3</v>
      </c>
      <c r="E125" s="3">
        <v>0.51041666666666663</v>
      </c>
      <c r="F125" s="2"/>
      <c r="G125" s="2">
        <f t="shared" si="3"/>
        <v>0</v>
      </c>
      <c r="H125" s="2">
        <f>IF(C125&lt;150,C125,C125/2)</f>
        <v>145.69999999999999</v>
      </c>
      <c r="I125" s="2">
        <f t="shared" si="4"/>
        <v>14.57</v>
      </c>
      <c r="J125" s="2">
        <f t="shared" si="5"/>
        <v>160.26999999999998</v>
      </c>
      <c r="K125" s="2">
        <v>145.69999999999999</v>
      </c>
      <c r="L125" s="2" t="s">
        <v>134</v>
      </c>
      <c r="M125" s="2" t="s">
        <v>138</v>
      </c>
      <c r="N125" s="2"/>
    </row>
    <row r="126" spans="1:14" x14ac:dyDescent="0.35">
      <c r="A126" s="2" t="s">
        <v>90</v>
      </c>
      <c r="B126" s="2" t="s">
        <v>32</v>
      </c>
      <c r="C126" s="2">
        <v>291.39999999999998</v>
      </c>
      <c r="D126" s="2">
        <v>3</v>
      </c>
      <c r="E126" s="3">
        <v>0.51041666666666663</v>
      </c>
      <c r="F126" s="2"/>
      <c r="G126" s="2">
        <f t="shared" si="3"/>
        <v>0</v>
      </c>
      <c r="H126" s="2">
        <f>IF(C126&lt;150,C126,C126/2)</f>
        <v>145.69999999999999</v>
      </c>
      <c r="I126" s="2">
        <f t="shared" si="4"/>
        <v>14.57</v>
      </c>
      <c r="J126" s="2">
        <f t="shared" si="5"/>
        <v>160.26999999999998</v>
      </c>
      <c r="K126" s="2">
        <v>145.69999999999999</v>
      </c>
      <c r="L126" s="2" t="s">
        <v>134</v>
      </c>
      <c r="M126" s="2" t="s">
        <v>137</v>
      </c>
      <c r="N126" s="2"/>
    </row>
    <row r="127" spans="1:14" x14ac:dyDescent="0.35">
      <c r="A127" s="2" t="s">
        <v>90</v>
      </c>
      <c r="B127" s="2" t="s">
        <v>37</v>
      </c>
      <c r="C127" s="2">
        <v>289.39999999999998</v>
      </c>
      <c r="D127" s="2">
        <v>2</v>
      </c>
      <c r="E127" s="3">
        <v>0.50694444444444442</v>
      </c>
      <c r="F127" s="2"/>
      <c r="G127" s="2">
        <f t="shared" si="3"/>
        <v>0</v>
      </c>
      <c r="H127" s="2">
        <f>IF(C127&lt;150,C127,C127/2)</f>
        <v>144.69999999999999</v>
      </c>
      <c r="I127" s="2">
        <f t="shared" si="4"/>
        <v>14.469999999999999</v>
      </c>
      <c r="J127" s="2">
        <f t="shared" si="5"/>
        <v>159.16999999999999</v>
      </c>
      <c r="K127" s="2">
        <v>145.69999999999999</v>
      </c>
      <c r="L127" s="2" t="s">
        <v>134</v>
      </c>
      <c r="M127" s="2" t="s">
        <v>138</v>
      </c>
      <c r="N127" s="2"/>
    </row>
    <row r="128" spans="1:14" x14ac:dyDescent="0.35">
      <c r="A128" s="2" t="s">
        <v>90</v>
      </c>
      <c r="B128" s="2" t="s">
        <v>85</v>
      </c>
      <c r="C128" s="2">
        <v>279.3</v>
      </c>
      <c r="D128" s="2">
        <v>2</v>
      </c>
      <c r="E128" s="3">
        <v>0.55208333333333326</v>
      </c>
      <c r="F128" s="2"/>
      <c r="G128" s="2">
        <f t="shared" si="3"/>
        <v>0</v>
      </c>
      <c r="H128" s="2">
        <f>IF(C128&lt;150,C128,C128/2)</f>
        <v>139.65</v>
      </c>
      <c r="I128" s="2">
        <f t="shared" si="4"/>
        <v>13.965000000000002</v>
      </c>
      <c r="J128" s="2">
        <f t="shared" si="5"/>
        <v>153.61500000000001</v>
      </c>
      <c r="K128" s="2">
        <v>146.9</v>
      </c>
      <c r="L128" s="2" t="s">
        <v>134</v>
      </c>
      <c r="M128" s="2" t="s">
        <v>147</v>
      </c>
      <c r="N128" s="2"/>
    </row>
    <row r="129" spans="1:14" x14ac:dyDescent="0.35">
      <c r="A129" s="2" t="s">
        <v>90</v>
      </c>
      <c r="B129" s="2" t="s">
        <v>86</v>
      </c>
      <c r="C129" s="2">
        <v>279.3</v>
      </c>
      <c r="D129" s="2">
        <v>2</v>
      </c>
      <c r="E129" s="3">
        <v>0.55555555555555558</v>
      </c>
      <c r="F129" s="2"/>
      <c r="G129" s="2">
        <f t="shared" si="3"/>
        <v>0</v>
      </c>
      <c r="H129" s="2">
        <f>IF(C129&lt;150,C129,C129/2)</f>
        <v>139.65</v>
      </c>
      <c r="I129" s="2">
        <f t="shared" si="4"/>
        <v>13.965000000000002</v>
      </c>
      <c r="J129" s="2">
        <f t="shared" si="5"/>
        <v>153.61500000000001</v>
      </c>
      <c r="K129" s="2">
        <v>146.9</v>
      </c>
      <c r="L129" s="2" t="s">
        <v>134</v>
      </c>
      <c r="M129" s="2" t="s">
        <v>147</v>
      </c>
      <c r="N129" s="2"/>
    </row>
    <row r="130" spans="1:14" x14ac:dyDescent="0.35">
      <c r="A130" s="2" t="s">
        <v>90</v>
      </c>
      <c r="B130" s="2" t="s">
        <v>87</v>
      </c>
      <c r="C130" s="2">
        <v>279.3</v>
      </c>
      <c r="D130" s="2">
        <v>2</v>
      </c>
      <c r="E130" s="3">
        <v>0.54513888888888906</v>
      </c>
      <c r="F130" s="2"/>
      <c r="G130" s="2">
        <f t="shared" si="3"/>
        <v>0</v>
      </c>
      <c r="H130" s="2">
        <f>IF(C130&lt;150,C130,C130/2)</f>
        <v>139.65</v>
      </c>
      <c r="I130" s="2">
        <f t="shared" si="4"/>
        <v>13.965000000000002</v>
      </c>
      <c r="J130" s="2">
        <f t="shared" si="5"/>
        <v>153.61500000000001</v>
      </c>
      <c r="K130" s="2">
        <v>146.9</v>
      </c>
      <c r="L130" s="2" t="s">
        <v>134</v>
      </c>
      <c r="M130" s="2" t="s">
        <v>147</v>
      </c>
      <c r="N130" s="2"/>
    </row>
    <row r="131" spans="1:14" x14ac:dyDescent="0.35">
      <c r="A131" s="2" t="s">
        <v>90</v>
      </c>
      <c r="B131" s="2" t="s">
        <v>88</v>
      </c>
      <c r="C131" s="2">
        <v>279.3</v>
      </c>
      <c r="D131" s="2">
        <v>2</v>
      </c>
      <c r="E131" s="3">
        <v>0.53472222222222221</v>
      </c>
      <c r="F131" s="2"/>
      <c r="G131" s="2">
        <f t="shared" ref="G131" si="6">F131</f>
        <v>0</v>
      </c>
      <c r="H131" s="2">
        <f>IF(C131&lt;150,C131,C131/2)</f>
        <v>139.65</v>
      </c>
      <c r="I131" s="2">
        <f t="shared" ref="I131" si="7">H131*0.1</f>
        <v>13.965000000000002</v>
      </c>
      <c r="J131" s="2">
        <f t="shared" ref="J131" si="8">I131+H131</f>
        <v>153.61500000000001</v>
      </c>
      <c r="K131" s="2">
        <v>146.9</v>
      </c>
      <c r="L131" s="2" t="s">
        <v>134</v>
      </c>
      <c r="M131" s="2" t="s">
        <v>147</v>
      </c>
      <c r="N131" s="2"/>
    </row>
    <row r="132" spans="1:14" x14ac:dyDescent="0.35">
      <c r="E132" s="1"/>
    </row>
  </sheetData>
  <autoFilter ref="A1:M1" xr:uid="{E7B768EC-4C07-490B-92A8-9F002AD70963}">
    <sortState ref="A2:M131">
      <sortCondition ref="K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D4E-06E6-407D-82E4-9B5954304685}">
  <dimension ref="A1:D123"/>
  <sheetViews>
    <sheetView workbookViewId="0">
      <selection sqref="A1:D123"/>
    </sheetView>
  </sheetViews>
  <sheetFormatPr defaultRowHeight="14.5" x14ac:dyDescent="0.35"/>
  <sheetData>
    <row r="1" spans="1:4" ht="43.5" x14ac:dyDescent="0.35">
      <c r="A1" s="2" t="s">
        <v>158</v>
      </c>
      <c r="B1" s="4" t="s">
        <v>159</v>
      </c>
      <c r="C1" s="4" t="s">
        <v>160</v>
      </c>
      <c r="D1" s="4" t="s">
        <v>157</v>
      </c>
    </row>
    <row r="2" spans="1:4" x14ac:dyDescent="0.35">
      <c r="A2" s="2">
        <v>1</v>
      </c>
      <c r="B2" s="8" t="s">
        <v>161</v>
      </c>
      <c r="C2" s="8">
        <v>62.049599999999998</v>
      </c>
      <c r="D2" s="8" t="s">
        <v>162</v>
      </c>
    </row>
    <row r="3" spans="1:4" x14ac:dyDescent="0.35">
      <c r="A3" s="2">
        <v>2</v>
      </c>
      <c r="B3" s="8" t="s">
        <v>163</v>
      </c>
      <c r="C3" s="8">
        <v>69.787199999999999</v>
      </c>
      <c r="D3" s="8" t="s">
        <v>162</v>
      </c>
    </row>
    <row r="4" spans="1:4" x14ac:dyDescent="0.35">
      <c r="A4" s="2">
        <v>3</v>
      </c>
      <c r="B4" s="8" t="s">
        <v>164</v>
      </c>
      <c r="C4" s="8">
        <v>70.084800000000016</v>
      </c>
      <c r="D4" s="8" t="s">
        <v>162</v>
      </c>
    </row>
    <row r="5" spans="1:4" x14ac:dyDescent="0.35">
      <c r="A5" s="2">
        <v>4</v>
      </c>
      <c r="B5" s="8" t="s">
        <v>165</v>
      </c>
      <c r="C5" s="8">
        <v>80.054400000000015</v>
      </c>
      <c r="D5" s="8" t="s">
        <v>162</v>
      </c>
    </row>
    <row r="6" spans="1:4" x14ac:dyDescent="0.35">
      <c r="A6" s="2">
        <v>5</v>
      </c>
      <c r="B6" s="8" t="s">
        <v>166</v>
      </c>
      <c r="C6" s="8">
        <v>84.36960000000002</v>
      </c>
      <c r="D6" s="8" t="s">
        <v>162</v>
      </c>
    </row>
    <row r="7" spans="1:4" x14ac:dyDescent="0.35">
      <c r="A7" s="2">
        <v>6</v>
      </c>
      <c r="B7" s="8" t="s">
        <v>167</v>
      </c>
      <c r="C7" s="8">
        <v>87.196799999999996</v>
      </c>
      <c r="D7" s="8" t="s">
        <v>162</v>
      </c>
    </row>
    <row r="8" spans="1:4" x14ac:dyDescent="0.35">
      <c r="A8" s="2">
        <v>7</v>
      </c>
      <c r="B8" s="8" t="s">
        <v>168</v>
      </c>
      <c r="C8" s="8">
        <v>91.903487315545533</v>
      </c>
      <c r="D8" s="8" t="s">
        <v>162</v>
      </c>
    </row>
    <row r="9" spans="1:4" x14ac:dyDescent="0.35">
      <c r="A9" s="2">
        <v>8</v>
      </c>
      <c r="B9" s="8" t="s">
        <v>169</v>
      </c>
      <c r="C9" s="8">
        <v>92.504000000000019</v>
      </c>
      <c r="D9" s="8" t="s">
        <v>162</v>
      </c>
    </row>
    <row r="10" spans="1:4" x14ac:dyDescent="0.35">
      <c r="A10" s="2">
        <v>9</v>
      </c>
      <c r="B10" s="8" t="s">
        <v>170</v>
      </c>
      <c r="C10" s="8">
        <v>92.91167189446864</v>
      </c>
      <c r="D10" s="8" t="s">
        <v>162</v>
      </c>
    </row>
    <row r="11" spans="1:4" x14ac:dyDescent="0.35">
      <c r="A11" s="2">
        <v>10</v>
      </c>
      <c r="B11" s="8" t="s">
        <v>171</v>
      </c>
      <c r="C11" s="8">
        <v>93.248000000000005</v>
      </c>
      <c r="D11" s="8" t="s">
        <v>162</v>
      </c>
    </row>
    <row r="12" spans="1:4" x14ac:dyDescent="0.35">
      <c r="A12" s="2">
        <v>11</v>
      </c>
      <c r="B12" s="8" t="s">
        <v>172</v>
      </c>
      <c r="C12" s="8">
        <v>95.000544779634595</v>
      </c>
      <c r="D12" s="8" t="s">
        <v>162</v>
      </c>
    </row>
    <row r="13" spans="1:4" x14ac:dyDescent="0.35">
      <c r="A13" s="2">
        <v>12</v>
      </c>
      <c r="B13" s="8" t="s">
        <v>173</v>
      </c>
      <c r="C13" s="8">
        <v>97.197753324652467</v>
      </c>
      <c r="D13" s="8" t="s">
        <v>162</v>
      </c>
    </row>
    <row r="14" spans="1:4" x14ac:dyDescent="0.35">
      <c r="A14" s="2">
        <v>13</v>
      </c>
      <c r="B14" s="8" t="s">
        <v>174</v>
      </c>
      <c r="C14" s="8">
        <v>98.486116538640488</v>
      </c>
      <c r="D14" s="8" t="s">
        <v>162</v>
      </c>
    </row>
    <row r="15" spans="1:4" x14ac:dyDescent="0.35">
      <c r="A15" s="2">
        <v>14</v>
      </c>
      <c r="B15" s="8" t="s">
        <v>175</v>
      </c>
      <c r="C15" s="8">
        <v>99.646400000000028</v>
      </c>
      <c r="D15" s="8" t="s">
        <v>162</v>
      </c>
    </row>
    <row r="16" spans="1:4" x14ac:dyDescent="0.35">
      <c r="A16" s="2">
        <v>15</v>
      </c>
      <c r="B16" s="8" t="s">
        <v>176</v>
      </c>
      <c r="C16" s="8">
        <v>100.19033225073838</v>
      </c>
      <c r="D16" s="8" t="s">
        <v>162</v>
      </c>
    </row>
    <row r="17" spans="1:4" x14ac:dyDescent="0.35">
      <c r="A17" s="2">
        <v>16</v>
      </c>
      <c r="B17" s="8" t="s">
        <v>177</v>
      </c>
      <c r="C17" s="8">
        <v>100.27174255295384</v>
      </c>
      <c r="D17" s="8" t="s">
        <v>162</v>
      </c>
    </row>
    <row r="18" spans="1:4" x14ac:dyDescent="0.35">
      <c r="A18" s="2">
        <v>17</v>
      </c>
      <c r="B18" s="8" t="s">
        <v>178</v>
      </c>
      <c r="C18" s="8">
        <v>103.2424443976539</v>
      </c>
      <c r="D18" s="8" t="s">
        <v>162</v>
      </c>
    </row>
    <row r="19" spans="1:4" x14ac:dyDescent="0.35">
      <c r="A19" s="2">
        <v>18</v>
      </c>
      <c r="B19" s="8" t="s">
        <v>179</v>
      </c>
      <c r="C19" s="8">
        <v>103.87977148207725</v>
      </c>
      <c r="D19" s="8" t="s">
        <v>162</v>
      </c>
    </row>
    <row r="20" spans="1:4" x14ac:dyDescent="0.35">
      <c r="A20" s="2">
        <v>19</v>
      </c>
      <c r="B20" s="8" t="s">
        <v>180</v>
      </c>
      <c r="C20" s="8">
        <v>104.34673525684558</v>
      </c>
      <c r="D20" s="8" t="s">
        <v>162</v>
      </c>
    </row>
    <row r="21" spans="1:4" x14ac:dyDescent="0.35">
      <c r="A21" s="2">
        <v>20</v>
      </c>
      <c r="B21" s="8" t="s">
        <v>181</v>
      </c>
      <c r="C21" s="8">
        <v>104.80653810575711</v>
      </c>
      <c r="D21" s="8" t="s">
        <v>162</v>
      </c>
    </row>
    <row r="22" spans="1:4" x14ac:dyDescent="0.35">
      <c r="A22" s="2">
        <v>21</v>
      </c>
      <c r="B22" s="8" t="s">
        <v>182</v>
      </c>
      <c r="C22" s="8">
        <v>105.27417849232933</v>
      </c>
      <c r="D22" s="8" t="s">
        <v>162</v>
      </c>
    </row>
    <row r="23" spans="1:4" x14ac:dyDescent="0.35">
      <c r="A23" s="2">
        <v>22</v>
      </c>
      <c r="B23" s="8" t="s">
        <v>183</v>
      </c>
      <c r="C23" s="8">
        <v>105.50340979592593</v>
      </c>
      <c r="D23" s="8" t="s">
        <v>162</v>
      </c>
    </row>
    <row r="24" spans="1:4" x14ac:dyDescent="0.35">
      <c r="A24" s="2">
        <v>23</v>
      </c>
      <c r="B24" s="9" t="s">
        <v>184</v>
      </c>
      <c r="C24" s="9">
        <v>106.05478434576327</v>
      </c>
      <c r="D24" s="9" t="s">
        <v>185</v>
      </c>
    </row>
    <row r="25" spans="1:4" x14ac:dyDescent="0.35">
      <c r="A25" s="2">
        <v>24</v>
      </c>
      <c r="B25" s="9" t="s">
        <v>186</v>
      </c>
      <c r="C25" s="9">
        <v>106.09330945512107</v>
      </c>
      <c r="D25" s="9" t="s">
        <v>185</v>
      </c>
    </row>
    <row r="26" spans="1:4" x14ac:dyDescent="0.35">
      <c r="A26" s="2">
        <v>25</v>
      </c>
      <c r="B26" s="9" t="s">
        <v>187</v>
      </c>
      <c r="C26" s="9">
        <v>106.69485047147595</v>
      </c>
      <c r="D26" s="9" t="s">
        <v>185</v>
      </c>
    </row>
    <row r="27" spans="1:4" x14ac:dyDescent="0.35">
      <c r="A27" s="2">
        <v>26</v>
      </c>
      <c r="B27" s="9" t="s">
        <v>188</v>
      </c>
      <c r="C27" s="9">
        <v>106.87822199536168</v>
      </c>
      <c r="D27" s="9" t="s">
        <v>185</v>
      </c>
    </row>
    <row r="28" spans="1:4" x14ac:dyDescent="0.35">
      <c r="A28" s="2">
        <v>27</v>
      </c>
      <c r="B28" s="9" t="s">
        <v>189</v>
      </c>
      <c r="C28" s="9">
        <v>107.6771150842001</v>
      </c>
      <c r="D28" s="9" t="s">
        <v>185</v>
      </c>
    </row>
    <row r="29" spans="1:4" x14ac:dyDescent="0.35">
      <c r="A29" s="2">
        <v>28</v>
      </c>
      <c r="B29" s="9" t="s">
        <v>190</v>
      </c>
      <c r="C29" s="9">
        <v>107.74747242611544</v>
      </c>
      <c r="D29" s="9" t="s">
        <v>185</v>
      </c>
    </row>
    <row r="30" spans="1:4" x14ac:dyDescent="0.35">
      <c r="A30" s="2">
        <v>29</v>
      </c>
      <c r="B30" s="9" t="s">
        <v>191</v>
      </c>
      <c r="C30" s="9">
        <v>107.93074084703125</v>
      </c>
      <c r="D30" s="9" t="s">
        <v>185</v>
      </c>
    </row>
    <row r="31" spans="1:4" x14ac:dyDescent="0.35">
      <c r="A31" s="2">
        <v>30</v>
      </c>
      <c r="B31" s="9" t="s">
        <v>192</v>
      </c>
      <c r="C31" s="9">
        <v>108.69658110305407</v>
      </c>
      <c r="D31" s="9" t="s">
        <v>185</v>
      </c>
    </row>
    <row r="32" spans="1:4" x14ac:dyDescent="0.35">
      <c r="A32" s="2">
        <v>31</v>
      </c>
      <c r="B32" s="9" t="s">
        <v>193</v>
      </c>
      <c r="C32" s="9">
        <v>109.36800000000001</v>
      </c>
      <c r="D32" s="9" t="s">
        <v>185</v>
      </c>
    </row>
    <row r="33" spans="1:4" x14ac:dyDescent="0.35">
      <c r="A33" s="2">
        <v>32</v>
      </c>
      <c r="B33" s="9" t="s">
        <v>194</v>
      </c>
      <c r="C33" s="9">
        <v>109.47394039663914</v>
      </c>
      <c r="D33" s="9" t="s">
        <v>185</v>
      </c>
    </row>
    <row r="34" spans="1:4" x14ac:dyDescent="0.35">
      <c r="A34" s="2">
        <v>33</v>
      </c>
      <c r="B34" s="9" t="s">
        <v>195</v>
      </c>
      <c r="C34" s="9">
        <v>109.51808413546976</v>
      </c>
      <c r="D34" s="9" t="s">
        <v>185</v>
      </c>
    </row>
    <row r="35" spans="1:4" x14ac:dyDescent="0.35">
      <c r="A35" s="2">
        <v>34</v>
      </c>
      <c r="B35" s="9" t="s">
        <v>196</v>
      </c>
      <c r="C35" s="9">
        <v>109.76479999999999</v>
      </c>
      <c r="D35" s="9" t="s">
        <v>185</v>
      </c>
    </row>
    <row r="36" spans="1:4" x14ac:dyDescent="0.35">
      <c r="A36" s="2">
        <v>35</v>
      </c>
      <c r="B36" s="9" t="s">
        <v>197</v>
      </c>
      <c r="C36" s="9">
        <v>109.86399999999999</v>
      </c>
      <c r="D36" s="9" t="s">
        <v>185</v>
      </c>
    </row>
    <row r="37" spans="1:4" x14ac:dyDescent="0.35">
      <c r="A37" s="2">
        <v>36</v>
      </c>
      <c r="B37" s="9" t="s">
        <v>198</v>
      </c>
      <c r="C37" s="9">
        <v>110.0128</v>
      </c>
      <c r="D37" s="9" t="s">
        <v>185</v>
      </c>
    </row>
    <row r="38" spans="1:4" x14ac:dyDescent="0.35">
      <c r="A38" s="2">
        <v>37</v>
      </c>
      <c r="B38" s="9" t="s">
        <v>199</v>
      </c>
      <c r="C38" s="9">
        <v>110.4592</v>
      </c>
      <c r="D38" s="9" t="s">
        <v>185</v>
      </c>
    </row>
    <row r="39" spans="1:4" x14ac:dyDescent="0.35">
      <c r="A39" s="2">
        <v>38</v>
      </c>
      <c r="B39" s="9" t="s">
        <v>200</v>
      </c>
      <c r="C39" s="9">
        <v>110.70720000000001</v>
      </c>
      <c r="D39" s="9" t="s">
        <v>185</v>
      </c>
    </row>
    <row r="40" spans="1:4" x14ac:dyDescent="0.35">
      <c r="A40" s="2">
        <v>39</v>
      </c>
      <c r="B40" s="9" t="s">
        <v>201</v>
      </c>
      <c r="C40" s="9">
        <v>110.8064</v>
      </c>
      <c r="D40" s="9" t="s">
        <v>185</v>
      </c>
    </row>
    <row r="41" spans="1:4" x14ac:dyDescent="0.35">
      <c r="A41" s="2">
        <v>40</v>
      </c>
      <c r="B41" s="9" t="s">
        <v>202</v>
      </c>
      <c r="C41" s="9">
        <v>111.85317062448594</v>
      </c>
      <c r="D41" s="9" t="s">
        <v>185</v>
      </c>
    </row>
    <row r="42" spans="1:4" x14ac:dyDescent="0.35">
      <c r="A42" s="2">
        <v>41</v>
      </c>
      <c r="B42" s="9" t="s">
        <v>203</v>
      </c>
      <c r="C42" s="9">
        <v>112.1952</v>
      </c>
      <c r="D42" s="9" t="s">
        <v>185</v>
      </c>
    </row>
    <row r="43" spans="1:4" x14ac:dyDescent="0.35">
      <c r="A43" s="2">
        <v>42</v>
      </c>
      <c r="B43" s="9" t="s">
        <v>204</v>
      </c>
      <c r="C43" s="9">
        <v>112.242828763532</v>
      </c>
      <c r="D43" s="9" t="s">
        <v>185</v>
      </c>
    </row>
    <row r="44" spans="1:4" x14ac:dyDescent="0.35">
      <c r="A44" s="2">
        <v>43</v>
      </c>
      <c r="B44" s="9" t="s">
        <v>205</v>
      </c>
      <c r="C44" s="9">
        <v>112.64160000000003</v>
      </c>
      <c r="D44" s="9" t="s">
        <v>185</v>
      </c>
    </row>
    <row r="45" spans="1:4" x14ac:dyDescent="0.35">
      <c r="A45" s="2">
        <v>44</v>
      </c>
      <c r="B45" s="9" t="s">
        <v>206</v>
      </c>
      <c r="C45" s="9">
        <v>113.18720000000002</v>
      </c>
      <c r="D45" s="9" t="s">
        <v>185</v>
      </c>
    </row>
    <row r="46" spans="1:4" x14ac:dyDescent="0.35">
      <c r="A46" s="2">
        <v>45</v>
      </c>
      <c r="B46" s="9" t="s">
        <v>207</v>
      </c>
      <c r="C46" s="9">
        <v>114.08000000000003</v>
      </c>
      <c r="D46" s="9" t="s">
        <v>185</v>
      </c>
    </row>
    <row r="47" spans="1:4" x14ac:dyDescent="0.35">
      <c r="A47" s="2">
        <v>46</v>
      </c>
      <c r="B47" s="9" t="s">
        <v>208</v>
      </c>
      <c r="C47" s="9">
        <v>114.12960000000001</v>
      </c>
      <c r="D47" s="9" t="s">
        <v>185</v>
      </c>
    </row>
    <row r="48" spans="1:4" x14ac:dyDescent="0.35">
      <c r="A48" s="2">
        <v>47</v>
      </c>
      <c r="B48" s="9" t="s">
        <v>209</v>
      </c>
      <c r="C48" s="9">
        <v>114.27839999999999</v>
      </c>
      <c r="D48" s="9" t="s">
        <v>185</v>
      </c>
    </row>
    <row r="49" spans="1:4" x14ac:dyDescent="0.35">
      <c r="A49" s="2">
        <v>48</v>
      </c>
      <c r="B49" s="9" t="s">
        <v>210</v>
      </c>
      <c r="C49" s="9">
        <v>114.7744</v>
      </c>
      <c r="D49" s="9" t="s">
        <v>185</v>
      </c>
    </row>
    <row r="50" spans="1:4" x14ac:dyDescent="0.35">
      <c r="A50" s="2">
        <v>49</v>
      </c>
      <c r="B50" s="9" t="s">
        <v>211</v>
      </c>
      <c r="C50" s="9">
        <v>114.7744</v>
      </c>
      <c r="D50" s="9" t="s">
        <v>185</v>
      </c>
    </row>
    <row r="51" spans="1:4" x14ac:dyDescent="0.35">
      <c r="A51" s="2">
        <v>50</v>
      </c>
      <c r="B51" s="9" t="s">
        <v>212</v>
      </c>
      <c r="C51" s="9">
        <v>114.87360000000001</v>
      </c>
      <c r="D51" s="9" t="s">
        <v>185</v>
      </c>
    </row>
    <row r="52" spans="1:4" x14ac:dyDescent="0.35">
      <c r="A52" s="2">
        <v>51</v>
      </c>
      <c r="B52" s="9" t="s">
        <v>213</v>
      </c>
      <c r="C52" s="9">
        <v>115.17119999999998</v>
      </c>
      <c r="D52" s="9" t="s">
        <v>185</v>
      </c>
    </row>
    <row r="53" spans="1:4" x14ac:dyDescent="0.35">
      <c r="A53" s="2">
        <v>52</v>
      </c>
      <c r="B53" s="9" t="s">
        <v>214</v>
      </c>
      <c r="C53" s="9">
        <v>115.19167771384251</v>
      </c>
      <c r="D53" s="9" t="s">
        <v>185</v>
      </c>
    </row>
    <row r="54" spans="1:4" x14ac:dyDescent="0.35">
      <c r="A54" s="2">
        <v>53</v>
      </c>
      <c r="B54" s="9" t="s">
        <v>215</v>
      </c>
      <c r="C54" s="9">
        <v>115.22080000000004</v>
      </c>
      <c r="D54" s="9" t="s">
        <v>185</v>
      </c>
    </row>
    <row r="55" spans="1:4" x14ac:dyDescent="0.35">
      <c r="A55" s="2">
        <v>54</v>
      </c>
      <c r="B55" s="9" t="s">
        <v>216</v>
      </c>
      <c r="C55" s="9">
        <v>115.4192</v>
      </c>
      <c r="D55" s="9" t="s">
        <v>185</v>
      </c>
    </row>
    <row r="56" spans="1:4" x14ac:dyDescent="0.35">
      <c r="A56" s="2">
        <v>55</v>
      </c>
      <c r="B56" s="9" t="s">
        <v>217</v>
      </c>
      <c r="C56" s="9">
        <v>115.49140561258487</v>
      </c>
      <c r="D56" s="9" t="s">
        <v>185</v>
      </c>
    </row>
    <row r="57" spans="1:4" x14ac:dyDescent="0.35">
      <c r="A57" s="2">
        <v>56</v>
      </c>
      <c r="B57" s="9" t="s">
        <v>218</v>
      </c>
      <c r="C57" s="9">
        <v>115.54685542509627</v>
      </c>
      <c r="D57" s="9" t="s">
        <v>185</v>
      </c>
    </row>
    <row r="58" spans="1:4" x14ac:dyDescent="0.35">
      <c r="A58" s="2">
        <v>57</v>
      </c>
      <c r="B58" s="9" t="s">
        <v>219</v>
      </c>
      <c r="C58" s="9">
        <v>115.61760000000004</v>
      </c>
      <c r="D58" s="9" t="s">
        <v>185</v>
      </c>
    </row>
    <row r="59" spans="1:4" x14ac:dyDescent="0.35">
      <c r="A59" s="2">
        <v>58</v>
      </c>
      <c r="B59" s="9" t="s">
        <v>220</v>
      </c>
      <c r="C59" s="9">
        <v>116.16320000000002</v>
      </c>
      <c r="D59" s="9" t="s">
        <v>185</v>
      </c>
    </row>
    <row r="60" spans="1:4" x14ac:dyDescent="0.35">
      <c r="A60" s="2">
        <v>59</v>
      </c>
      <c r="B60" s="9" t="s">
        <v>221</v>
      </c>
      <c r="C60" s="9">
        <v>116.2128</v>
      </c>
      <c r="D60" s="9" t="s">
        <v>185</v>
      </c>
    </row>
    <row r="61" spans="1:4" x14ac:dyDescent="0.35">
      <c r="A61" s="2">
        <v>60</v>
      </c>
      <c r="B61" s="9" t="s">
        <v>222</v>
      </c>
      <c r="C61" s="9">
        <v>116.46080000000002</v>
      </c>
      <c r="D61" s="9" t="s">
        <v>185</v>
      </c>
    </row>
    <row r="62" spans="1:4" x14ac:dyDescent="0.35">
      <c r="A62" s="2">
        <v>61</v>
      </c>
      <c r="B62" s="9" t="s">
        <v>223</v>
      </c>
      <c r="C62" s="9">
        <v>116.69577180903053</v>
      </c>
      <c r="D62" s="9" t="s">
        <v>185</v>
      </c>
    </row>
    <row r="63" spans="1:4" x14ac:dyDescent="0.35">
      <c r="A63" s="2">
        <v>62</v>
      </c>
      <c r="B63" s="9" t="s">
        <v>224</v>
      </c>
      <c r="C63" s="9">
        <v>116.75840000000001</v>
      </c>
      <c r="D63" s="9" t="s">
        <v>185</v>
      </c>
    </row>
    <row r="64" spans="1:4" x14ac:dyDescent="0.35">
      <c r="A64" s="2">
        <v>63</v>
      </c>
      <c r="B64" s="9" t="s">
        <v>225</v>
      </c>
      <c r="C64" s="9">
        <v>117.30399999999997</v>
      </c>
      <c r="D64" s="9" t="s">
        <v>185</v>
      </c>
    </row>
    <row r="65" spans="1:4" x14ac:dyDescent="0.35">
      <c r="A65" s="2">
        <v>64</v>
      </c>
      <c r="B65" s="9" t="s">
        <v>226</v>
      </c>
      <c r="C65" s="9">
        <v>117.55200000000005</v>
      </c>
      <c r="D65" s="9" t="s">
        <v>185</v>
      </c>
    </row>
    <row r="66" spans="1:4" x14ac:dyDescent="0.35">
      <c r="A66" s="2">
        <v>65</v>
      </c>
      <c r="B66" s="9" t="s">
        <v>227</v>
      </c>
      <c r="C66" s="9">
        <v>117.67108331783464</v>
      </c>
      <c r="D66" s="9" t="s">
        <v>185</v>
      </c>
    </row>
    <row r="67" spans="1:4" x14ac:dyDescent="0.35">
      <c r="A67" s="2">
        <v>66</v>
      </c>
      <c r="B67" s="9" t="s">
        <v>228</v>
      </c>
      <c r="C67" s="9">
        <v>117.81720307936342</v>
      </c>
      <c r="D67" s="9" t="s">
        <v>185</v>
      </c>
    </row>
    <row r="68" spans="1:4" x14ac:dyDescent="0.35">
      <c r="A68" s="2">
        <v>67</v>
      </c>
      <c r="B68" s="9" t="s">
        <v>229</v>
      </c>
      <c r="C68" s="9">
        <v>117.84960000000001</v>
      </c>
      <c r="D68" s="9" t="s">
        <v>185</v>
      </c>
    </row>
    <row r="69" spans="1:4" x14ac:dyDescent="0.35">
      <c r="A69" s="2">
        <v>68</v>
      </c>
      <c r="B69" s="9" t="s">
        <v>230</v>
      </c>
      <c r="C69" s="9">
        <v>118.04800000000003</v>
      </c>
      <c r="D69" s="9" t="s">
        <v>185</v>
      </c>
    </row>
    <row r="70" spans="1:4" x14ac:dyDescent="0.35">
      <c r="A70" s="2">
        <v>69</v>
      </c>
      <c r="B70" s="9" t="s">
        <v>231</v>
      </c>
      <c r="C70" s="9">
        <v>118.05793153090438</v>
      </c>
      <c r="D70" s="9" t="s">
        <v>185</v>
      </c>
    </row>
    <row r="71" spans="1:4" x14ac:dyDescent="0.35">
      <c r="A71" s="2">
        <v>70</v>
      </c>
      <c r="B71" s="9" t="s">
        <v>232</v>
      </c>
      <c r="C71" s="9">
        <v>118.26332659183313</v>
      </c>
      <c r="D71" s="9" t="s">
        <v>185</v>
      </c>
    </row>
    <row r="72" spans="1:4" x14ac:dyDescent="0.35">
      <c r="A72" s="2">
        <v>71</v>
      </c>
      <c r="B72" s="9" t="s">
        <v>233</v>
      </c>
      <c r="C72" s="9">
        <v>118.43193985389935</v>
      </c>
      <c r="D72" s="9" t="s">
        <v>185</v>
      </c>
    </row>
    <row r="73" spans="1:4" x14ac:dyDescent="0.35">
      <c r="A73" s="2">
        <v>72</v>
      </c>
      <c r="B73" s="9" t="s">
        <v>234</v>
      </c>
      <c r="C73" s="9">
        <v>118.7424</v>
      </c>
      <c r="D73" s="9" t="s">
        <v>185</v>
      </c>
    </row>
    <row r="74" spans="1:4" x14ac:dyDescent="0.35">
      <c r="A74" s="2">
        <v>73</v>
      </c>
      <c r="B74" s="9" t="s">
        <v>235</v>
      </c>
      <c r="C74" s="9">
        <v>118.7424</v>
      </c>
      <c r="D74" s="9" t="s">
        <v>185</v>
      </c>
    </row>
    <row r="75" spans="1:4" x14ac:dyDescent="0.35">
      <c r="A75" s="2">
        <v>74</v>
      </c>
      <c r="B75" s="9" t="s">
        <v>236</v>
      </c>
      <c r="C75" s="9">
        <v>118.89119999999997</v>
      </c>
      <c r="D75" s="9" t="s">
        <v>185</v>
      </c>
    </row>
    <row r="76" spans="1:4" x14ac:dyDescent="0.35">
      <c r="A76" s="2">
        <v>75</v>
      </c>
      <c r="B76" s="9" t="s">
        <v>237</v>
      </c>
      <c r="C76" s="9">
        <v>118.89120000000003</v>
      </c>
      <c r="D76" s="9" t="s">
        <v>185</v>
      </c>
    </row>
    <row r="77" spans="1:4" x14ac:dyDescent="0.35">
      <c r="A77" s="2">
        <v>76</v>
      </c>
      <c r="B77" s="9" t="s">
        <v>238</v>
      </c>
      <c r="C77" s="9">
        <v>119.13920000000002</v>
      </c>
      <c r="D77" s="9" t="s">
        <v>185</v>
      </c>
    </row>
    <row r="78" spans="1:4" x14ac:dyDescent="0.35">
      <c r="A78" s="2">
        <v>77</v>
      </c>
      <c r="B78" s="9" t="s">
        <v>239</v>
      </c>
      <c r="C78" s="9">
        <v>119.43680000000002</v>
      </c>
      <c r="D78" s="9" t="s">
        <v>185</v>
      </c>
    </row>
    <row r="79" spans="1:4" x14ac:dyDescent="0.35">
      <c r="A79" s="2">
        <v>78</v>
      </c>
      <c r="B79" s="9" t="s">
        <v>240</v>
      </c>
      <c r="C79" s="9">
        <v>119.48639999999999</v>
      </c>
      <c r="D79" s="9" t="s">
        <v>185</v>
      </c>
    </row>
    <row r="80" spans="1:4" x14ac:dyDescent="0.35">
      <c r="A80" s="2">
        <v>79</v>
      </c>
      <c r="B80" s="9" t="s">
        <v>241</v>
      </c>
      <c r="C80" s="9">
        <v>119.6590013778804</v>
      </c>
      <c r="D80" s="9" t="s">
        <v>185</v>
      </c>
    </row>
    <row r="81" spans="1:4" x14ac:dyDescent="0.35">
      <c r="A81" s="2">
        <v>80</v>
      </c>
      <c r="B81" s="9" t="s">
        <v>242</v>
      </c>
      <c r="C81" s="9">
        <v>120.42892983754257</v>
      </c>
      <c r="D81" s="9" t="s">
        <v>185</v>
      </c>
    </row>
    <row r="82" spans="1:4" x14ac:dyDescent="0.35">
      <c r="A82" s="2">
        <v>81</v>
      </c>
      <c r="B82" s="9" t="s">
        <v>243</v>
      </c>
      <c r="C82" s="9">
        <v>120.52800000000001</v>
      </c>
      <c r="D82" s="9" t="s">
        <v>185</v>
      </c>
    </row>
    <row r="83" spans="1:4" x14ac:dyDescent="0.35">
      <c r="A83" s="2">
        <v>82</v>
      </c>
      <c r="B83" s="10" t="s">
        <v>244</v>
      </c>
      <c r="C83" s="10">
        <v>121.25173828383461</v>
      </c>
      <c r="D83" s="10" t="s">
        <v>245</v>
      </c>
    </row>
    <row r="84" spans="1:4" x14ac:dyDescent="0.35">
      <c r="A84" s="2">
        <v>83</v>
      </c>
      <c r="B84" s="10" t="s">
        <v>246</v>
      </c>
      <c r="C84" s="10">
        <v>121.32160000000005</v>
      </c>
      <c r="D84" s="10" t="s">
        <v>245</v>
      </c>
    </row>
    <row r="85" spans="1:4" x14ac:dyDescent="0.35">
      <c r="A85" s="2">
        <v>84</v>
      </c>
      <c r="B85" s="10" t="s">
        <v>247</v>
      </c>
      <c r="C85" s="10">
        <v>121.42080000000004</v>
      </c>
      <c r="D85" s="10" t="s">
        <v>245</v>
      </c>
    </row>
    <row r="86" spans="1:4" x14ac:dyDescent="0.35">
      <c r="A86" s="2">
        <v>85</v>
      </c>
      <c r="B86" s="10" t="s">
        <v>248</v>
      </c>
      <c r="C86" s="10">
        <v>121.55354027079188</v>
      </c>
      <c r="D86" s="10" t="s">
        <v>245</v>
      </c>
    </row>
    <row r="87" spans="1:4" x14ac:dyDescent="0.35">
      <c r="A87" s="2">
        <v>86</v>
      </c>
      <c r="B87" s="10" t="s">
        <v>249</v>
      </c>
      <c r="C87" s="10">
        <v>121.56946417709722</v>
      </c>
      <c r="D87" s="10" t="s">
        <v>245</v>
      </c>
    </row>
    <row r="88" spans="1:4" x14ac:dyDescent="0.35">
      <c r="A88" s="2">
        <v>87</v>
      </c>
      <c r="B88" s="10" t="s">
        <v>250</v>
      </c>
      <c r="C88" s="10">
        <v>121.61919999999998</v>
      </c>
      <c r="D88" s="10" t="s">
        <v>245</v>
      </c>
    </row>
    <row r="89" spans="1:4" x14ac:dyDescent="0.35">
      <c r="A89" s="2">
        <v>88</v>
      </c>
      <c r="B89" s="10" t="s">
        <v>251</v>
      </c>
      <c r="C89" s="10">
        <v>121.86719999999998</v>
      </c>
      <c r="D89" s="10" t="s">
        <v>245</v>
      </c>
    </row>
    <row r="90" spans="1:4" x14ac:dyDescent="0.35">
      <c r="A90" s="2">
        <v>89</v>
      </c>
      <c r="B90" s="10" t="s">
        <v>252</v>
      </c>
      <c r="C90" s="10">
        <v>122.1634855864736</v>
      </c>
      <c r="D90" s="10" t="s">
        <v>245</v>
      </c>
    </row>
    <row r="91" spans="1:4" x14ac:dyDescent="0.35">
      <c r="A91" s="2">
        <v>90</v>
      </c>
      <c r="B91" s="10" t="s">
        <v>253</v>
      </c>
      <c r="C91" s="10">
        <v>122.264</v>
      </c>
      <c r="D91" s="10" t="s">
        <v>245</v>
      </c>
    </row>
    <row r="92" spans="1:4" x14ac:dyDescent="0.35">
      <c r="A92" s="2">
        <v>91</v>
      </c>
      <c r="B92" s="10" t="s">
        <v>254</v>
      </c>
      <c r="C92" s="10">
        <v>122.32206209880026</v>
      </c>
      <c r="D92" s="10" t="s">
        <v>245</v>
      </c>
    </row>
    <row r="93" spans="1:4" x14ac:dyDescent="0.35">
      <c r="A93" s="2">
        <v>92</v>
      </c>
      <c r="B93" s="10" t="s">
        <v>255</v>
      </c>
      <c r="C93" s="10">
        <v>122.56159999999998</v>
      </c>
      <c r="D93" s="10" t="s">
        <v>245</v>
      </c>
    </row>
    <row r="94" spans="1:4" x14ac:dyDescent="0.35">
      <c r="A94" s="2">
        <v>93</v>
      </c>
      <c r="B94" s="10" t="s">
        <v>256</v>
      </c>
      <c r="C94" s="10">
        <v>122.60505886498343</v>
      </c>
      <c r="D94" s="10" t="s">
        <v>245</v>
      </c>
    </row>
    <row r="95" spans="1:4" x14ac:dyDescent="0.35">
      <c r="A95" s="2">
        <v>94</v>
      </c>
      <c r="B95" s="10" t="s">
        <v>257</v>
      </c>
      <c r="C95" s="10">
        <v>122.69832589228639</v>
      </c>
      <c r="D95" s="10" t="s">
        <v>245</v>
      </c>
    </row>
    <row r="96" spans="1:4" x14ac:dyDescent="0.35">
      <c r="A96" s="2">
        <v>95</v>
      </c>
      <c r="B96" s="10" t="s">
        <v>258</v>
      </c>
      <c r="C96" s="10">
        <v>123.00321891893861</v>
      </c>
      <c r="D96" s="10" t="s">
        <v>245</v>
      </c>
    </row>
    <row r="97" spans="1:4" x14ac:dyDescent="0.35">
      <c r="A97" s="2">
        <v>96</v>
      </c>
      <c r="B97" s="10" t="s">
        <v>259</v>
      </c>
      <c r="C97" s="10">
        <v>123.00799999999998</v>
      </c>
      <c r="D97" s="10" t="s">
        <v>245</v>
      </c>
    </row>
    <row r="98" spans="1:4" x14ac:dyDescent="0.35">
      <c r="A98" s="2">
        <v>97</v>
      </c>
      <c r="B98" s="10" t="s">
        <v>260</v>
      </c>
      <c r="C98" s="10">
        <v>123.256</v>
      </c>
      <c r="D98" s="10" t="s">
        <v>245</v>
      </c>
    </row>
    <row r="99" spans="1:4" x14ac:dyDescent="0.35">
      <c r="A99" s="2">
        <v>98</v>
      </c>
      <c r="B99" s="10" t="s">
        <v>261</v>
      </c>
      <c r="C99" s="10">
        <v>123.47153130397842</v>
      </c>
      <c r="D99" s="10" t="s">
        <v>245</v>
      </c>
    </row>
    <row r="100" spans="1:4" x14ac:dyDescent="0.35">
      <c r="A100" s="2">
        <v>99</v>
      </c>
      <c r="B100" s="10" t="s">
        <v>262</v>
      </c>
      <c r="C100" s="10">
        <v>123.51487728311052</v>
      </c>
      <c r="D100" s="10" t="s">
        <v>245</v>
      </c>
    </row>
    <row r="101" spans="1:4" x14ac:dyDescent="0.35">
      <c r="A101" s="2">
        <v>100</v>
      </c>
      <c r="B101" s="10" t="s">
        <v>263</v>
      </c>
      <c r="C101" s="10">
        <v>123.54665315091052</v>
      </c>
      <c r="D101" s="10" t="s">
        <v>245</v>
      </c>
    </row>
    <row r="102" spans="1:4" x14ac:dyDescent="0.35">
      <c r="A102" s="2">
        <v>101</v>
      </c>
      <c r="B102" s="10" t="s">
        <v>264</v>
      </c>
      <c r="C102" s="10">
        <v>123.75407341172189</v>
      </c>
      <c r="D102" s="10" t="s">
        <v>245</v>
      </c>
    </row>
    <row r="103" spans="1:4" x14ac:dyDescent="0.35">
      <c r="A103" s="2">
        <v>102</v>
      </c>
      <c r="B103" s="10" t="s">
        <v>265</v>
      </c>
      <c r="C103" s="10">
        <v>124.09919999999995</v>
      </c>
      <c r="D103" s="10" t="s">
        <v>245</v>
      </c>
    </row>
    <row r="104" spans="1:4" x14ac:dyDescent="0.35">
      <c r="A104" s="2">
        <v>103</v>
      </c>
      <c r="B104" s="10" t="s">
        <v>266</v>
      </c>
      <c r="C104" s="10">
        <v>124.19555808073099</v>
      </c>
      <c r="D104" s="10" t="s">
        <v>245</v>
      </c>
    </row>
    <row r="105" spans="1:4" x14ac:dyDescent="0.35">
      <c r="A105" s="2">
        <v>104</v>
      </c>
      <c r="B105" s="10" t="s">
        <v>267</v>
      </c>
      <c r="C105" s="10">
        <v>124.65894249757729</v>
      </c>
      <c r="D105" s="10" t="s">
        <v>245</v>
      </c>
    </row>
    <row r="106" spans="1:4" x14ac:dyDescent="0.35">
      <c r="A106" s="2">
        <v>105</v>
      </c>
      <c r="B106" s="10" t="s">
        <v>268</v>
      </c>
      <c r="C106" s="10">
        <v>124.66147845220047</v>
      </c>
      <c r="D106" s="10" t="s">
        <v>245</v>
      </c>
    </row>
    <row r="107" spans="1:4" x14ac:dyDescent="0.35">
      <c r="A107" s="2">
        <v>106</v>
      </c>
      <c r="B107" s="10" t="s">
        <v>269</v>
      </c>
      <c r="C107" s="10">
        <v>125.3685174035614</v>
      </c>
      <c r="D107" s="10" t="s">
        <v>245</v>
      </c>
    </row>
    <row r="108" spans="1:4" x14ac:dyDescent="0.35">
      <c r="A108" s="2">
        <v>107</v>
      </c>
      <c r="B108" s="10" t="s">
        <v>270</v>
      </c>
      <c r="C108" s="10">
        <v>125.48800000000004</v>
      </c>
      <c r="D108" s="10" t="s">
        <v>245</v>
      </c>
    </row>
    <row r="109" spans="1:4" x14ac:dyDescent="0.35">
      <c r="A109" s="2">
        <v>108</v>
      </c>
      <c r="B109" s="10" t="s">
        <v>271</v>
      </c>
      <c r="C109" s="10">
        <v>126.55545082868042</v>
      </c>
      <c r="D109" s="10" t="s">
        <v>245</v>
      </c>
    </row>
    <row r="110" spans="1:4" x14ac:dyDescent="0.35">
      <c r="A110" s="2">
        <v>109</v>
      </c>
      <c r="B110" s="10" t="s">
        <v>272</v>
      </c>
      <c r="C110" s="10">
        <v>126.83611874431936</v>
      </c>
      <c r="D110" s="10" t="s">
        <v>245</v>
      </c>
    </row>
    <row r="111" spans="1:4" x14ac:dyDescent="0.35">
      <c r="A111" s="2">
        <v>110</v>
      </c>
      <c r="B111" s="10" t="s">
        <v>273</v>
      </c>
      <c r="C111" s="10">
        <v>127.11817988450812</v>
      </c>
      <c r="D111" s="10" t="s">
        <v>245</v>
      </c>
    </row>
    <row r="112" spans="1:4" x14ac:dyDescent="0.35">
      <c r="A112" s="2">
        <v>111</v>
      </c>
      <c r="B112" s="10" t="s">
        <v>274</v>
      </c>
      <c r="C112" s="10">
        <v>128.46044960389764</v>
      </c>
      <c r="D112" s="10" t="s">
        <v>245</v>
      </c>
    </row>
    <row r="113" spans="1:4" x14ac:dyDescent="0.35">
      <c r="A113" s="2">
        <v>112</v>
      </c>
      <c r="B113" s="10" t="s">
        <v>275</v>
      </c>
      <c r="C113" s="10">
        <v>129.20943852034779</v>
      </c>
      <c r="D113" s="10" t="s">
        <v>245</v>
      </c>
    </row>
    <row r="114" spans="1:4" x14ac:dyDescent="0.35">
      <c r="A114" s="2">
        <v>113</v>
      </c>
      <c r="B114" s="10" t="s">
        <v>276</v>
      </c>
      <c r="C114" s="10">
        <v>129.30541771596492</v>
      </c>
      <c r="D114" s="10" t="s">
        <v>245</v>
      </c>
    </row>
    <row r="115" spans="1:4" x14ac:dyDescent="0.35">
      <c r="A115" s="2">
        <v>114</v>
      </c>
      <c r="B115" s="10" t="s">
        <v>277</v>
      </c>
      <c r="C115" s="10">
        <v>130.28378388356245</v>
      </c>
      <c r="D115" s="10" t="s">
        <v>245</v>
      </c>
    </row>
    <row r="116" spans="1:4" x14ac:dyDescent="0.35">
      <c r="A116" s="2">
        <v>115</v>
      </c>
      <c r="B116" s="10" t="s">
        <v>278</v>
      </c>
      <c r="C116" s="10">
        <v>130.42688457570347</v>
      </c>
      <c r="D116" s="10" t="s">
        <v>245</v>
      </c>
    </row>
    <row r="117" spans="1:4" x14ac:dyDescent="0.35">
      <c r="A117" s="2">
        <v>116</v>
      </c>
      <c r="B117" s="10" t="s">
        <v>279</v>
      </c>
      <c r="C117" s="10">
        <v>130.50595428579373</v>
      </c>
      <c r="D117" s="10" t="s">
        <v>245</v>
      </c>
    </row>
    <row r="118" spans="1:4" x14ac:dyDescent="0.35">
      <c r="A118" s="2">
        <v>117</v>
      </c>
      <c r="B118" s="10" t="s">
        <v>280</v>
      </c>
      <c r="C118" s="10">
        <v>132.1344</v>
      </c>
      <c r="D118" s="10" t="s">
        <v>245</v>
      </c>
    </row>
    <row r="119" spans="1:4" x14ac:dyDescent="0.35">
      <c r="A119" s="2">
        <v>118</v>
      </c>
      <c r="B119" s="10" t="s">
        <v>281</v>
      </c>
      <c r="C119" s="10">
        <v>133.96960000000001</v>
      </c>
      <c r="D119" s="10" t="s">
        <v>245</v>
      </c>
    </row>
    <row r="120" spans="1:4" x14ac:dyDescent="0.35">
      <c r="A120" s="2">
        <v>119</v>
      </c>
      <c r="B120" s="10" t="s">
        <v>282</v>
      </c>
      <c r="C120" s="10">
        <v>134.59977002216269</v>
      </c>
      <c r="D120" s="10" t="s">
        <v>245</v>
      </c>
    </row>
    <row r="121" spans="1:4" x14ac:dyDescent="0.35">
      <c r="A121" s="2">
        <v>120</v>
      </c>
      <c r="B121" s="10" t="s">
        <v>283</v>
      </c>
      <c r="C121" s="10">
        <v>134.64127936527788</v>
      </c>
      <c r="D121" s="10" t="s">
        <v>245</v>
      </c>
    </row>
    <row r="122" spans="1:4" x14ac:dyDescent="0.35">
      <c r="A122" s="2">
        <v>121</v>
      </c>
      <c r="B122" s="10" t="s">
        <v>284</v>
      </c>
      <c r="C122" s="10">
        <v>135.1317162143732</v>
      </c>
      <c r="D122" s="10" t="s">
        <v>245</v>
      </c>
    </row>
    <row r="123" spans="1:4" x14ac:dyDescent="0.35">
      <c r="A123" s="2">
        <v>122</v>
      </c>
      <c r="B123" s="10" t="s">
        <v>285</v>
      </c>
      <c r="C123" s="10">
        <v>136.34384593565815</v>
      </c>
      <c r="D123" s="10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d95643-657f-4be1-98b3-074091b47c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77E7D7E91E24DA63EEC87338D158D" ma:contentTypeVersion="19" ma:contentTypeDescription="Create a new document." ma:contentTypeScope="" ma:versionID="745acedd538fb91f25ec69bd4161921f">
  <xsd:schema xmlns:xsd="http://www.w3.org/2001/XMLSchema" xmlns:xs="http://www.w3.org/2001/XMLSchema" xmlns:p="http://schemas.microsoft.com/office/2006/metadata/properties" xmlns:ns3="cbd95643-657f-4be1-98b3-074091b47c0b" xmlns:ns4="6a388d72-59c3-4b47-85fd-b1cc2ea32109" targetNamespace="http://schemas.microsoft.com/office/2006/metadata/properties" ma:root="true" ma:fieldsID="b25e94168ad3ad9625492406a9804115" ns3:_="" ns4:_="">
    <xsd:import namespace="cbd95643-657f-4be1-98b3-074091b47c0b"/>
    <xsd:import namespace="6a388d72-59c3-4b47-85fd-b1cc2ea321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95643-657f-4be1-98b3-074091b4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88d72-59c3-4b47-85fd-b1cc2ea321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5BCE4-CEFB-47F4-B7E4-45811D629B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A3AF6-AD8B-4D68-A395-05AC18098317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6a388d72-59c3-4b47-85fd-b1cc2ea32109"/>
    <ds:schemaRef ds:uri="http://schemas.openxmlformats.org/package/2006/metadata/core-properties"/>
    <ds:schemaRef ds:uri="http://www.w3.org/XML/1998/namespace"/>
    <ds:schemaRef ds:uri="cbd95643-657f-4be1-98b3-074091b47c0b"/>
  </ds:schemaRefs>
</ds:datastoreItem>
</file>

<file path=customXml/itemProps3.xml><?xml version="1.0" encoding="utf-8"?>
<ds:datastoreItem xmlns:ds="http://schemas.openxmlformats.org/officeDocument/2006/customXml" ds:itemID="{8A218985-C04B-4D43-BC7D-5F0C5513D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d95643-657f-4be1-98b3-074091b47c0b"/>
    <ds:schemaRef ds:uri="6a388d72-59c3-4b47-85fd-b1cc2ea32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category</vt:lpstr>
      <vt:lpstr>Bus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Petchimuthu Pandian P (Mgr - Chassis Assembly Line II)</dc:creator>
  <cp:lastModifiedBy>Petchimuthu Pandian P (Mgr - Chassis Assembly Line II)</cp:lastModifiedBy>
  <dcterms:created xsi:type="dcterms:W3CDTF">2026-07-20T07:44:45Z</dcterms:created>
  <dcterms:modified xsi:type="dcterms:W3CDTF">2026-07-23T07:23:29Z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0x01010083177E7D7E91E24DA63EEC87338D158D</vt:lpwstr>
  </property>
</Properties>
</file>