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278570-356D-4C4E-9FEF-9683A862AA6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CH DATA NH" sheetId="1" r:id="rId1"/>
    <sheet name="VEH.NO" sheetId="2" r:id="rId2"/>
    <sheet name="Sheet1" sheetId="3" r:id="rId3"/>
    <sheet name="Sheet2" sheetId="4" r:id="rId4"/>
  </sheets>
  <externalReferences>
    <externalReference r:id="rId5"/>
    <externalReference r:id="rId6"/>
  </externalReferences>
  <definedNames>
    <definedName name="_xlnm._FilterDatabase" localSheetId="0" hidden="1">'SCH DATA NH'!$A$3:$I$85</definedName>
    <definedName name="_xlnm.Print_Area" localSheetId="0">'SCH DATA NH'!$A$1:$I$85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85" i="1" l="1"/>
  <c r="G84" i="1"/>
  <c r="G83" i="1"/>
  <c r="G82" i="1"/>
  <c r="G81" i="1"/>
  <c r="G80" i="1"/>
  <c r="G79" i="1"/>
  <c r="G78" i="1"/>
  <c r="G77" i="1"/>
  <c r="G76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13" i="4" l="1"/>
  <c r="D12" i="4"/>
  <c r="D11" i="4"/>
  <c r="D10" i="4"/>
  <c r="D9" i="4"/>
  <c r="D8" i="4"/>
  <c r="D7" i="4"/>
  <c r="D6" i="4"/>
  <c r="D5" i="4"/>
  <c r="D4" i="4"/>
  <c r="D85" i="1"/>
  <c r="D84" i="1"/>
  <c r="D83" i="1"/>
  <c r="D82" i="1"/>
  <c r="D81" i="1"/>
  <c r="D80" i="1"/>
  <c r="D79" i="1"/>
  <c r="D78" i="1"/>
  <c r="D77" i="1"/>
  <c r="D76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</calcChain>
</file>

<file path=xl/sharedStrings.xml><?xml version="1.0" encoding="utf-8"?>
<sst xmlns="http://schemas.openxmlformats.org/spreadsheetml/2006/main" count="571" uniqueCount="349">
  <si>
    <t>SL</t>
  </si>
  <si>
    <t>ROUTE</t>
  </si>
  <si>
    <t>FIX BM</t>
  </si>
  <si>
    <t>VEHICLE</t>
  </si>
  <si>
    <t>SWAP</t>
  </si>
  <si>
    <t>BM NO</t>
  </si>
  <si>
    <t>REG NO</t>
  </si>
  <si>
    <t>OUT TIME</t>
  </si>
  <si>
    <t>IN TIME</t>
  </si>
  <si>
    <t>600F/91</t>
  </si>
  <si>
    <t>BM248</t>
  </si>
  <si>
    <t>600F/92</t>
  </si>
  <si>
    <t>BM278</t>
  </si>
  <si>
    <t>600F/93</t>
  </si>
  <si>
    <t>BM200</t>
  </si>
  <si>
    <t>600F/94</t>
  </si>
  <si>
    <t>BM201</t>
  </si>
  <si>
    <t>328H/2</t>
  </si>
  <si>
    <t>BM294</t>
  </si>
  <si>
    <t>BM012</t>
  </si>
  <si>
    <t>361C/1</t>
  </si>
  <si>
    <t>BM299</t>
  </si>
  <si>
    <t>600F/95</t>
  </si>
  <si>
    <t>BM223</t>
  </si>
  <si>
    <t xml:space="preserve"> </t>
  </si>
  <si>
    <t>328H/1</t>
  </si>
  <si>
    <t>BM153</t>
  </si>
  <si>
    <t>600F/52</t>
  </si>
  <si>
    <t>BM281</t>
  </si>
  <si>
    <t>399C/3</t>
  </si>
  <si>
    <t>BM216</t>
  </si>
  <si>
    <t>BM124</t>
  </si>
  <si>
    <t>328H/3</t>
  </si>
  <si>
    <t>BM183</t>
  </si>
  <si>
    <t>328H/6</t>
  </si>
  <si>
    <t>BM068</t>
  </si>
  <si>
    <t>BM058</t>
  </si>
  <si>
    <t>600F/57</t>
  </si>
  <si>
    <t>BM215</t>
  </si>
  <si>
    <t>361C/2</t>
  </si>
  <si>
    <t>BM054</t>
  </si>
  <si>
    <t>328H/9</t>
  </si>
  <si>
    <t>BM207</t>
  </si>
  <si>
    <t>600F/49</t>
  </si>
  <si>
    <t>BM255</t>
  </si>
  <si>
    <t>KBS3A/2</t>
  </si>
  <si>
    <t>BM086</t>
  </si>
  <si>
    <t>600F/51</t>
  </si>
  <si>
    <t>BM273</t>
  </si>
  <si>
    <t>KBS3A/20</t>
  </si>
  <si>
    <t>BM268</t>
  </si>
  <si>
    <t>328H/10</t>
  </si>
  <si>
    <t>BM285</t>
  </si>
  <si>
    <t>KBS3F/16</t>
  </si>
  <si>
    <t>BM082</t>
  </si>
  <si>
    <t>328H/12</t>
  </si>
  <si>
    <t>BM224</t>
  </si>
  <si>
    <t>361C/3</t>
  </si>
  <si>
    <t>BM289</t>
  </si>
  <si>
    <t>600F/5</t>
  </si>
  <si>
    <t>BM274</t>
  </si>
  <si>
    <t>KBS3A/23</t>
  </si>
  <si>
    <t>BM259</t>
  </si>
  <si>
    <t>399C/4</t>
  </si>
  <si>
    <t>BM282</t>
  </si>
  <si>
    <t>BM214</t>
  </si>
  <si>
    <t>328H/13</t>
  </si>
  <si>
    <t>BM283</t>
  </si>
  <si>
    <t>328H/14</t>
  </si>
  <si>
    <t>BM222</t>
  </si>
  <si>
    <t>600F/6</t>
  </si>
  <si>
    <t>BM202</t>
  </si>
  <si>
    <t>KBS3A/26</t>
  </si>
  <si>
    <t>BM210</t>
  </si>
  <si>
    <t>361C/4</t>
  </si>
  <si>
    <t>BM020</t>
  </si>
  <si>
    <t>KBS3F/15</t>
  </si>
  <si>
    <t>BM293</t>
  </si>
  <si>
    <t>328H/19</t>
  </si>
  <si>
    <t>BM279</t>
  </si>
  <si>
    <t>BM002</t>
  </si>
  <si>
    <t>600F/72</t>
  </si>
  <si>
    <t>BM300</t>
  </si>
  <si>
    <t>KBS3A/8</t>
  </si>
  <si>
    <t>BM152</t>
  </si>
  <si>
    <t>328H/16</t>
  </si>
  <si>
    <t>BM227</t>
  </si>
  <si>
    <t>BM057</t>
  </si>
  <si>
    <t>600F/8</t>
  </si>
  <si>
    <t>BM290</t>
  </si>
  <si>
    <t>KBS3A/9</t>
  </si>
  <si>
    <t>BM209</t>
  </si>
  <si>
    <t>356Z/3</t>
  </si>
  <si>
    <t>BM238</t>
  </si>
  <si>
    <t>BM288</t>
  </si>
  <si>
    <t>361C/11</t>
  </si>
  <si>
    <t>BM304</t>
  </si>
  <si>
    <t>328H/20</t>
  </si>
  <si>
    <t>BM204</t>
  </si>
  <si>
    <t>356Z/8</t>
  </si>
  <si>
    <t>BM218</t>
  </si>
  <si>
    <t>600F/74</t>
  </si>
  <si>
    <t>BM271</t>
  </si>
  <si>
    <t>KBS3A/77</t>
  </si>
  <si>
    <t>BM062</t>
  </si>
  <si>
    <t>BM295</t>
  </si>
  <si>
    <t>399C/5</t>
  </si>
  <si>
    <t>BM272</t>
  </si>
  <si>
    <t>600F/75</t>
  </si>
  <si>
    <t>KBS3A/78</t>
  </si>
  <si>
    <t>BM245</t>
  </si>
  <si>
    <t>BM038</t>
  </si>
  <si>
    <t>328H/23</t>
  </si>
  <si>
    <t>BM212</t>
  </si>
  <si>
    <t>361C/6</t>
  </si>
  <si>
    <t>BM225</t>
  </si>
  <si>
    <t>BM250</t>
  </si>
  <si>
    <t>600F/79</t>
  </si>
  <si>
    <t>KBS3A/79</t>
  </si>
  <si>
    <t>BM297</t>
  </si>
  <si>
    <t>328H/22</t>
  </si>
  <si>
    <t>BM157</t>
  </si>
  <si>
    <t>BM191</t>
  </si>
  <si>
    <t>KBS3A/80</t>
  </si>
  <si>
    <t>BM010</t>
  </si>
  <si>
    <t>328H/8</t>
  </si>
  <si>
    <t>361C/7</t>
  </si>
  <si>
    <t>BM280</t>
  </si>
  <si>
    <t>328H/21</t>
  </si>
  <si>
    <t>BM119</t>
  </si>
  <si>
    <t>328H/7</t>
  </si>
  <si>
    <t>BM185</t>
  </si>
  <si>
    <t>361C/8</t>
  </si>
  <si>
    <t>BM303</t>
  </si>
  <si>
    <t>BM174</t>
  </si>
  <si>
    <t>600F/67</t>
  </si>
  <si>
    <t>BM203</t>
  </si>
  <si>
    <t>399C/6</t>
  </si>
  <si>
    <t>BM286</t>
  </si>
  <si>
    <t>328H/28</t>
  </si>
  <si>
    <t>BM024</t>
  </si>
  <si>
    <t>600F/68</t>
  </si>
  <si>
    <t>KBS3F/17</t>
  </si>
  <si>
    <t>BM275</t>
  </si>
  <si>
    <t>328H/4</t>
  </si>
  <si>
    <t>361C/9</t>
  </si>
  <si>
    <t>600F/69</t>
  </si>
  <si>
    <t>BM240</t>
  </si>
  <si>
    <t>328H/25</t>
  </si>
  <si>
    <t>BM088</t>
  </si>
  <si>
    <t>KBS3F/18</t>
  </si>
  <si>
    <t>600F/78</t>
  </si>
  <si>
    <t>BM001</t>
  </si>
  <si>
    <t>600F/81</t>
  </si>
  <si>
    <t>BM003</t>
  </si>
  <si>
    <t>600F/32</t>
  </si>
  <si>
    <t>SL NO.</t>
  </si>
  <si>
    <t>356Z/7</t>
  </si>
  <si>
    <t>BM256</t>
  </si>
  <si>
    <t>356Z/6</t>
  </si>
  <si>
    <t>BM217</t>
  </si>
  <si>
    <t>360K/3</t>
  </si>
  <si>
    <t>BM205</t>
  </si>
  <si>
    <t>360K/4</t>
  </si>
  <si>
    <t>600F/80</t>
  </si>
  <si>
    <t>BM056</t>
  </si>
  <si>
    <t>360K/15</t>
  </si>
  <si>
    <t>BM291</t>
  </si>
  <si>
    <t>600F/53</t>
  </si>
  <si>
    <t>BM264</t>
  </si>
  <si>
    <t>360K/30</t>
  </si>
  <si>
    <t>BM292</t>
  </si>
  <si>
    <t>600F/66</t>
  </si>
  <si>
    <t>BM198</t>
  </si>
  <si>
    <t>360K/38</t>
  </si>
  <si>
    <t>BM199</t>
  </si>
  <si>
    <t>SL NO</t>
  </si>
  <si>
    <t>KA51AH4144</t>
  </si>
  <si>
    <t>KA51AH2434</t>
  </si>
  <si>
    <t>KA51AH2423</t>
  </si>
  <si>
    <t>BM004</t>
  </si>
  <si>
    <t>KA51AH2429</t>
  </si>
  <si>
    <t>BM005</t>
  </si>
  <si>
    <t>KA51AH2421</t>
  </si>
  <si>
    <t>KA51AH2424</t>
  </si>
  <si>
    <t>KA51AH2551</t>
  </si>
  <si>
    <t>BM019</t>
  </si>
  <si>
    <t>KA51AH2552</t>
  </si>
  <si>
    <t>KA51AH2556</t>
  </si>
  <si>
    <t>KA51AH2619</t>
  </si>
  <si>
    <t>BM032</t>
  </si>
  <si>
    <t>KA51AH2739</t>
  </si>
  <si>
    <t>BM033</t>
  </si>
  <si>
    <t>KA51AH2740</t>
  </si>
  <si>
    <t>KA51AH2741</t>
  </si>
  <si>
    <t>BM052</t>
  </si>
  <si>
    <t>KA51AH2955</t>
  </si>
  <si>
    <t>KA51AH2951</t>
  </si>
  <si>
    <t>KA51AH2953</t>
  </si>
  <si>
    <t>KA51AH2956</t>
  </si>
  <si>
    <t>KA51AH3603</t>
  </si>
  <si>
    <t>KA51AH3269</t>
  </si>
  <si>
    <t>KA51AH3266</t>
  </si>
  <si>
    <t>BM075</t>
  </si>
  <si>
    <t>KA51AH3122</t>
  </si>
  <si>
    <t>BM080</t>
  </si>
  <si>
    <t>KA51AH3336</t>
  </si>
  <si>
    <t>BM081</t>
  </si>
  <si>
    <t>KA51AH3129</t>
  </si>
  <si>
    <t>KA51AH3131</t>
  </si>
  <si>
    <t>KA51AH3125</t>
  </si>
  <si>
    <t>KA51AH3127</t>
  </si>
  <si>
    <t>BM107</t>
  </si>
  <si>
    <t>KA51AH4062</t>
  </si>
  <si>
    <t>BM116</t>
  </si>
  <si>
    <t>KA51AH4068</t>
  </si>
  <si>
    <t>KA51AH4129</t>
  </si>
  <si>
    <t>KA51AH4146</t>
  </si>
  <si>
    <t>BM151</t>
  </si>
  <si>
    <t>KA51AH4650</t>
  </si>
  <si>
    <t>KA51AH4652</t>
  </si>
  <si>
    <t>KA51AH4643</t>
  </si>
  <si>
    <t>KA51AH4800</t>
  </si>
  <si>
    <t>KA51AH5823</t>
  </si>
  <si>
    <t>KA51AH5825</t>
  </si>
  <si>
    <t>KA51AH5820</t>
  </si>
  <si>
    <t>BM187</t>
  </si>
  <si>
    <t>KA51AH5822</t>
  </si>
  <si>
    <t>KA51AH6038</t>
  </si>
  <si>
    <t>BM193</t>
  </si>
  <si>
    <t>KA51AH7660</t>
  </si>
  <si>
    <t>BM197</t>
  </si>
  <si>
    <t>KA51AH7661</t>
  </si>
  <si>
    <t>KA51AH7664</t>
  </si>
  <si>
    <t>KA51AH7662</t>
  </si>
  <si>
    <t>KA51AH7659</t>
  </si>
  <si>
    <t>KA51AH7656</t>
  </si>
  <si>
    <t>KA51AH7658</t>
  </si>
  <si>
    <t>KA51AH7670</t>
  </si>
  <si>
    <t>KA51AH7666</t>
  </si>
  <si>
    <t>KA51AH7673</t>
  </si>
  <si>
    <t>BM206</t>
  </si>
  <si>
    <t>KA51AH7669</t>
  </si>
  <si>
    <t>KA51AH7671</t>
  </si>
  <si>
    <t>BM208</t>
  </si>
  <si>
    <t>KA51AH7775</t>
  </si>
  <si>
    <t>KA51AH7668</t>
  </si>
  <si>
    <t>KA51AH8350</t>
  </si>
  <si>
    <t>KA51AH7779</t>
  </si>
  <si>
    <t>BM213</t>
  </si>
  <si>
    <t>KA51AH8179</t>
  </si>
  <si>
    <t>KA51AH8348</t>
  </si>
  <si>
    <t>KA51AH8346</t>
  </si>
  <si>
    <t>KA51AH8281</t>
  </si>
  <si>
    <t>KA51AH8284</t>
  </si>
  <si>
    <t>KA51AH8182</t>
  </si>
  <si>
    <t>BM219</t>
  </si>
  <si>
    <t>KA51AH8181</t>
  </si>
  <si>
    <t>BM220</t>
  </si>
  <si>
    <t>KA51AH8180</t>
  </si>
  <si>
    <t>BM221</t>
  </si>
  <si>
    <t>KA51AH8184</t>
  </si>
  <si>
    <t>KA51AH8183</t>
  </si>
  <si>
    <t>KA51AH8283</t>
  </si>
  <si>
    <t>KA51AH8185</t>
  </si>
  <si>
    <t>KA51AH8349</t>
  </si>
  <si>
    <t>KA51AH4544</t>
  </si>
  <si>
    <t>KA51AH4540</t>
  </si>
  <si>
    <t>BM239</t>
  </si>
  <si>
    <t>KA51AH4790</t>
  </si>
  <si>
    <t>KA51AH4789</t>
  </si>
  <si>
    <t>KA51AH4799</t>
  </si>
  <si>
    <t>KA51AH4797</t>
  </si>
  <si>
    <t>BM249</t>
  </si>
  <si>
    <t>KA51AH6029</t>
  </si>
  <si>
    <t>KA51AH4801</t>
  </si>
  <si>
    <t>BM253</t>
  </si>
  <si>
    <t>KA51AH4987</t>
  </si>
  <si>
    <t>KA51AH5640</t>
  </si>
  <si>
    <t>KA51AH5641</t>
  </si>
  <si>
    <t>BM257</t>
  </si>
  <si>
    <t>KA51AH5648</t>
  </si>
  <si>
    <t>BM258</t>
  </si>
  <si>
    <t>KA51AH5643</t>
  </si>
  <si>
    <t>KA51AH5642</t>
  </si>
  <si>
    <t>BM260</t>
  </si>
  <si>
    <t>KA51AH6036</t>
  </si>
  <si>
    <t>BM261</t>
  </si>
  <si>
    <t>KA51AH5717</t>
  </si>
  <si>
    <t>BM263</t>
  </si>
  <si>
    <t>KA51AH5715</t>
  </si>
  <si>
    <t>KA51AH6037</t>
  </si>
  <si>
    <t>BM265</t>
  </si>
  <si>
    <t>KA51AH5723</t>
  </si>
  <si>
    <t>BM267</t>
  </si>
  <si>
    <t>KA51AH6034</t>
  </si>
  <si>
    <t>KA51AH6035</t>
  </si>
  <si>
    <t>BM269</t>
  </si>
  <si>
    <t>KA51AH6030</t>
  </si>
  <si>
    <t>KA51AH6095</t>
  </si>
  <si>
    <t>KA51AH6097</t>
  </si>
  <si>
    <t>KA51AH6098</t>
  </si>
  <si>
    <t>KA51AH6099</t>
  </si>
  <si>
    <t>KA51AH6096</t>
  </si>
  <si>
    <t>BM276</t>
  </si>
  <si>
    <t>KA51AH6250</t>
  </si>
  <si>
    <t>BM277</t>
  </si>
  <si>
    <t>KA51AH6245</t>
  </si>
  <si>
    <t>KA51AH6246</t>
  </si>
  <si>
    <t>KA51AH6244</t>
  </si>
  <si>
    <t>KA51AH6247</t>
  </si>
  <si>
    <t>KA51AH6251</t>
  </si>
  <si>
    <t>KA51AH7667</t>
  </si>
  <si>
    <t>KA51AH6249</t>
  </si>
  <si>
    <t>BM284</t>
  </si>
  <si>
    <t>KA51AH6248</t>
  </si>
  <si>
    <t>KA51AH6252</t>
  </si>
  <si>
    <t>KA51AH6469</t>
  </si>
  <si>
    <t>BM287</t>
  </si>
  <si>
    <t>KA51AH7657</t>
  </si>
  <si>
    <t>KA51AH7672</t>
  </si>
  <si>
    <t>KA51AH6471</t>
  </si>
  <si>
    <t>KA51AH6467</t>
  </si>
  <si>
    <t>KA51AH6466</t>
  </si>
  <si>
    <t>KA51AH6468</t>
  </si>
  <si>
    <t>KA51AH6470</t>
  </si>
  <si>
    <t>KA51AH6777</t>
  </si>
  <si>
    <t>KA51AH6780</t>
  </si>
  <si>
    <t>BM296</t>
  </si>
  <si>
    <t>KA51AH6779</t>
  </si>
  <si>
    <t>KA51AH6472</t>
  </si>
  <si>
    <t>BM298</t>
  </si>
  <si>
    <t>KA51AH6778</t>
  </si>
  <si>
    <t>KA51AH7663</t>
  </si>
  <si>
    <t>KA51AH6782</t>
  </si>
  <si>
    <t>KA51AJ0138</t>
  </si>
  <si>
    <t>KA51AJ0137</t>
  </si>
  <si>
    <t>SHIFT A VEHICLES</t>
  </si>
  <si>
    <t>GENARAL SHIFT VEHICLES</t>
  </si>
  <si>
    <t>600F/21</t>
  </si>
  <si>
    <t>600F/16</t>
  </si>
  <si>
    <t>600F/17</t>
  </si>
  <si>
    <t>600F/26</t>
  </si>
  <si>
    <t>600F/27</t>
  </si>
  <si>
    <t>600F/3</t>
  </si>
  <si>
    <t>600F/31</t>
  </si>
  <si>
    <t>600F/42</t>
  </si>
  <si>
    <t>600F/43</t>
  </si>
  <si>
    <t>600F/45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</si>
</sst>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2"/>
      <color theme="1" tint="4.9989318521683403E-2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rgb="FF000000"/>
      <name val="Cambria"/>
      <family val="1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5" fillId="0" borderId="0">
      <protection locked="0"/>
    </xf>
    <xf numFmtId="0" fontId="16" fillId="0" borderId="0"/>
    <xf numFmtId="0" fontId="16" fillId="0" borderId="0"/>
    <xf numFmtId="0" fontId="1" fillId="0" borderId="0"/>
    <xf numFmtId="0" fontId="18" fillId="0" borderId="0"/>
  </cellStyleXfs>
  <cellXfs count="44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20" fontId="6" fillId="0" borderId="4" xfId="0" applyNumberFormat="1" applyFont="1" applyBorder="1" applyAlignment="1">
      <alignment horizontal="center" vertical="center"/>
    </xf>
    <xf numFmtId="20" fontId="3" fillId="4" borderId="4" xfId="0" applyNumberFormat="1" applyFont="1" applyFill="1" applyBorder="1"/>
    <xf numFmtId="0" fontId="3" fillId="4" borderId="4" xfId="0" applyFont="1" applyFill="1" applyBorder="1" applyAlignment="1">
      <alignment horizontal="center" vertical="center"/>
    </xf>
    <xf numFmtId="20" fontId="3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20" fontId="6" fillId="4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0" borderId="4" xfId="0" applyBorder="1"/>
    <xf numFmtId="0" fontId="8" fillId="5" borderId="4" xfId="1" applyFont="1" applyFill="1" applyBorder="1" applyAlignment="1" applyProtection="1">
      <alignment horizontal="center" vertical="center" wrapText="1"/>
    </xf>
    <xf numFmtId="0" fontId="9" fillId="0" borderId="4" xfId="1" applyFont="1" applyBorder="1" applyAlignment="1" applyProtection="1">
      <alignment horizontal="center" vertical="center"/>
    </xf>
    <xf numFmtId="0" fontId="9" fillId="4" borderId="4" xfId="1" applyFont="1" applyFill="1" applyBorder="1" applyAlignment="1" applyProtection="1">
      <alignment horizontal="center" vertical="center"/>
    </xf>
    <xf numFmtId="0" fontId="0" fillId="4" borderId="0" xfId="0" applyFill="1"/>
    <xf numFmtId="0" fontId="10" fillId="4" borderId="0" xfId="0" applyFont="1" applyFill="1"/>
    <xf numFmtId="0" fontId="11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20" fontId="13" fillId="0" borderId="4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20" fontId="21" fillId="2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4 2" xfId="5" xr:uid="{500070F6-3146-495A-8701-99F882DD7309}"/>
    <cellStyle name="Normal 5" xfId="4" xr:uid="{7ABD06EF-2135-40FC-A761-90A715E2A413}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BM.xlsx" TargetMode="External"/><Relationship Id="rId2" Type="http://schemas.openxmlformats.org/officeDocument/2006/relationships/externalLinkPath" Target="file:///C:\Users\User\Desktop\BM.xlsx" TargetMode="External"/><Relationship Id="rId1" Type="http://schemas.openxmlformats.org/officeDocument/2006/relationships/externalLinkPath" Target="/Users/User/Desktop/B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ALL%20VEHICLE%20REG%20DETAILS/ALL%20VEHICLE%20REG%20DETAILS%20NEW.xlsx" TargetMode="External"/><Relationship Id="rId2" Type="http://schemas.openxmlformats.org/officeDocument/2006/relationships/externalLinkPath" Target="file:///C:\Users\user\Desktop\ALL%20VEHICLE%20REG%20DETAILS\ALL%20VEHICLE%20REG%20DETAILS%20NEW.xlsx" TargetMode="External"/><Relationship Id="rId1" Type="http://schemas.openxmlformats.org/officeDocument/2006/relationships/externalLinkPath" Target="/Users/user/Desktop/ALL%20VEHICLE%20REG%20DETAILS/ALL%20VEHICLE%20REG%20DETAILS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H NO WISE"/>
    </sheetNames>
    <sheetDataSet>
      <sheetData sheetId="0" refreshError="1">
        <row r="2">
          <cell r="B2" t="str">
            <v>BM005</v>
          </cell>
          <cell r="C2" t="str">
            <v>KA51AH2421</v>
          </cell>
        </row>
        <row r="3">
          <cell r="B3" t="str">
            <v>BM003</v>
          </cell>
          <cell r="C3" t="str">
            <v>KA51AH2423</v>
          </cell>
        </row>
        <row r="4">
          <cell r="B4" t="str">
            <v>BM010</v>
          </cell>
          <cell r="C4" t="str">
            <v>KA51AH2424</v>
          </cell>
        </row>
        <row r="5">
          <cell r="B5" t="str">
            <v>BM004</v>
          </cell>
          <cell r="C5" t="str">
            <v>KA51AH2429</v>
          </cell>
        </row>
        <row r="6">
          <cell r="B6" t="str">
            <v>BM002</v>
          </cell>
          <cell r="C6" t="str">
            <v>KA51AH2434</v>
          </cell>
        </row>
        <row r="7">
          <cell r="B7" t="str">
            <v>BM012</v>
          </cell>
          <cell r="C7" t="str">
            <v>KA51AH2551</v>
          </cell>
        </row>
        <row r="8">
          <cell r="B8" t="str">
            <v>BM019</v>
          </cell>
          <cell r="C8" t="str">
            <v>KA51AH2552</v>
          </cell>
        </row>
        <row r="9">
          <cell r="B9" t="str">
            <v>BM020</v>
          </cell>
          <cell r="C9" t="str">
            <v>KA51AH2556</v>
          </cell>
        </row>
        <row r="10">
          <cell r="B10" t="str">
            <v>BM024</v>
          </cell>
          <cell r="C10" t="str">
            <v>KA51AH2619</v>
          </cell>
        </row>
        <row r="11">
          <cell r="B11" t="str">
            <v>BM032</v>
          </cell>
          <cell r="C11" t="str">
            <v>KA51AH2739</v>
          </cell>
        </row>
        <row r="12">
          <cell r="B12" t="str">
            <v>BM033</v>
          </cell>
          <cell r="C12" t="str">
            <v>KA51AH2740</v>
          </cell>
        </row>
        <row r="13">
          <cell r="B13" t="str">
            <v>BM038</v>
          </cell>
          <cell r="C13" t="str">
            <v>KA51AH2741</v>
          </cell>
        </row>
        <row r="14">
          <cell r="B14" t="str">
            <v>BM054</v>
          </cell>
          <cell r="C14" t="str">
            <v>KA51AH2951</v>
          </cell>
        </row>
        <row r="15">
          <cell r="B15" t="str">
            <v>BM056</v>
          </cell>
          <cell r="C15" t="str">
            <v>KA51AH2953</v>
          </cell>
        </row>
        <row r="16">
          <cell r="B16" t="str">
            <v>BM052</v>
          </cell>
          <cell r="C16" t="str">
            <v>KA51AH2955</v>
          </cell>
        </row>
        <row r="17">
          <cell r="B17" t="str">
            <v>BM057</v>
          </cell>
          <cell r="C17" t="str">
            <v>KA51AH2956</v>
          </cell>
        </row>
        <row r="18">
          <cell r="B18" t="str">
            <v>BM075</v>
          </cell>
          <cell r="C18" t="str">
            <v>KA51AH3122</v>
          </cell>
        </row>
        <row r="19">
          <cell r="B19" t="str">
            <v>BM086</v>
          </cell>
          <cell r="C19" t="str">
            <v>KA51AH3125</v>
          </cell>
        </row>
        <row r="20">
          <cell r="B20" t="str">
            <v>BM088</v>
          </cell>
          <cell r="C20" t="str">
            <v>KA51AH3127</v>
          </cell>
        </row>
        <row r="21">
          <cell r="B21" t="str">
            <v>BM081</v>
          </cell>
          <cell r="C21" t="str">
            <v>KA51AH3129</v>
          </cell>
        </row>
        <row r="22">
          <cell r="B22" t="str">
            <v>BM082</v>
          </cell>
          <cell r="C22" t="str">
            <v>KA51AH3131</v>
          </cell>
        </row>
        <row r="23">
          <cell r="B23" t="str">
            <v>BM068</v>
          </cell>
          <cell r="C23" t="str">
            <v>KA51AH3266</v>
          </cell>
        </row>
        <row r="24">
          <cell r="B24" t="str">
            <v>BM062</v>
          </cell>
          <cell r="C24" t="str">
            <v>KA51AH3269</v>
          </cell>
        </row>
        <row r="25">
          <cell r="B25" t="str">
            <v>BM080</v>
          </cell>
          <cell r="C25" t="str">
            <v>KA51AH3336</v>
          </cell>
        </row>
        <row r="26">
          <cell r="B26" t="str">
            <v>BM058</v>
          </cell>
          <cell r="C26" t="str">
            <v>KA51AH3603</v>
          </cell>
        </row>
        <row r="27">
          <cell r="B27" t="str">
            <v>BM107</v>
          </cell>
          <cell r="C27" t="str">
            <v>KA51AH4062</v>
          </cell>
        </row>
        <row r="28">
          <cell r="B28" t="str">
            <v>BM116</v>
          </cell>
          <cell r="C28" t="str">
            <v>KA51AH4068</v>
          </cell>
        </row>
        <row r="29">
          <cell r="B29" t="str">
            <v>BM119</v>
          </cell>
          <cell r="C29" t="str">
            <v>KA51AH4129</v>
          </cell>
        </row>
        <row r="30">
          <cell r="B30" t="str">
            <v>BM001</v>
          </cell>
          <cell r="C30" t="str">
            <v>KA51AH4144</v>
          </cell>
        </row>
        <row r="31">
          <cell r="B31" t="str">
            <v>BM124</v>
          </cell>
          <cell r="C31" t="str">
            <v>KA51AH4146</v>
          </cell>
        </row>
        <row r="32">
          <cell r="B32" t="str">
            <v>BM238</v>
          </cell>
          <cell r="C32" t="str">
            <v>KA51AH4540</v>
          </cell>
        </row>
        <row r="33">
          <cell r="B33" t="str">
            <v>BM227</v>
          </cell>
          <cell r="C33" t="str">
            <v>KA51AH4544</v>
          </cell>
        </row>
        <row r="34">
          <cell r="B34" t="str">
            <v>BM153</v>
          </cell>
          <cell r="C34" t="str">
            <v>KA51AH4643</v>
          </cell>
        </row>
        <row r="35">
          <cell r="B35" t="str">
            <v>BM151</v>
          </cell>
          <cell r="C35" t="str">
            <v>KA51AH4650</v>
          </cell>
        </row>
        <row r="36">
          <cell r="B36" t="str">
            <v>BM152</v>
          </cell>
          <cell r="C36" t="str">
            <v>KA51AH4652</v>
          </cell>
        </row>
        <row r="37">
          <cell r="B37" t="str">
            <v>BM240</v>
          </cell>
          <cell r="C37" t="str">
            <v>KA51AH4789</v>
          </cell>
        </row>
        <row r="38">
          <cell r="B38" t="str">
            <v>BM239</v>
          </cell>
          <cell r="C38" t="str">
            <v>KA51AH4790</v>
          </cell>
        </row>
        <row r="39">
          <cell r="B39" t="str">
            <v>BM248</v>
          </cell>
          <cell r="C39" t="str">
            <v>KA51AH4797</v>
          </cell>
        </row>
        <row r="40">
          <cell r="B40" t="str">
            <v>BM245</v>
          </cell>
          <cell r="C40" t="str">
            <v>KA51AH4799</v>
          </cell>
        </row>
        <row r="41">
          <cell r="B41" t="str">
            <v>BM157</v>
          </cell>
          <cell r="C41" t="str">
            <v>KA51AH4800</v>
          </cell>
        </row>
        <row r="42">
          <cell r="B42" t="str">
            <v>BM250</v>
          </cell>
          <cell r="C42" t="str">
            <v>KA51AH4801</v>
          </cell>
        </row>
        <row r="43">
          <cell r="B43" t="str">
            <v>BM253</v>
          </cell>
          <cell r="C43" t="str">
            <v>KA51AH4987</v>
          </cell>
        </row>
        <row r="44">
          <cell r="B44" t="str">
            <v>BM255</v>
          </cell>
          <cell r="C44" t="str">
            <v>KA51AH5640</v>
          </cell>
        </row>
        <row r="45">
          <cell r="B45" t="str">
            <v>BM256</v>
          </cell>
          <cell r="C45" t="str">
            <v>KA51AH5641</v>
          </cell>
        </row>
        <row r="46">
          <cell r="B46" t="str">
            <v>BM259</v>
          </cell>
          <cell r="C46" t="str">
            <v>KA51AH5642</v>
          </cell>
        </row>
        <row r="47">
          <cell r="B47" t="str">
            <v>BM258</v>
          </cell>
          <cell r="C47" t="str">
            <v>KA51AH5643</v>
          </cell>
        </row>
        <row r="48">
          <cell r="B48" t="str">
            <v>BM257</v>
          </cell>
          <cell r="C48" t="str">
            <v>KA51AH5648</v>
          </cell>
        </row>
        <row r="49">
          <cell r="B49" t="str">
            <v>BM263</v>
          </cell>
          <cell r="C49" t="str">
            <v>KA51AH5715</v>
          </cell>
        </row>
        <row r="50">
          <cell r="B50" t="str">
            <v>BM261</v>
          </cell>
          <cell r="C50" t="str">
            <v>KA51AH5717</v>
          </cell>
        </row>
        <row r="51">
          <cell r="B51" t="str">
            <v>BM265</v>
          </cell>
          <cell r="C51" t="str">
            <v>KA51AH5723</v>
          </cell>
        </row>
        <row r="52">
          <cell r="B52" t="str">
            <v>BM185</v>
          </cell>
          <cell r="C52" t="str">
            <v>KA51AH5820</v>
          </cell>
        </row>
        <row r="53">
          <cell r="B53" t="str">
            <v>BM187</v>
          </cell>
          <cell r="C53" t="str">
            <v>KA51AH5822</v>
          </cell>
        </row>
        <row r="54">
          <cell r="B54" t="str">
            <v>BM174</v>
          </cell>
          <cell r="C54" t="str">
            <v>KA51AH5823</v>
          </cell>
        </row>
        <row r="55">
          <cell r="B55" t="str">
            <v>BM183</v>
          </cell>
          <cell r="C55" t="str">
            <v>KA51AH5825</v>
          </cell>
        </row>
        <row r="56">
          <cell r="B56" t="str">
            <v>BM249</v>
          </cell>
          <cell r="C56" t="str">
            <v>KA51AH6029</v>
          </cell>
        </row>
        <row r="57">
          <cell r="B57" t="str">
            <v>BM269</v>
          </cell>
          <cell r="C57" t="str">
            <v>KA51AH6030</v>
          </cell>
        </row>
        <row r="58">
          <cell r="B58" t="str">
            <v>BM267</v>
          </cell>
          <cell r="C58" t="str">
            <v>KA51AH6034</v>
          </cell>
        </row>
        <row r="59">
          <cell r="B59" t="str">
            <v>BM268</v>
          </cell>
          <cell r="C59" t="str">
            <v>KA51AH6035</v>
          </cell>
        </row>
        <row r="60">
          <cell r="B60" t="str">
            <v>BM260</v>
          </cell>
          <cell r="C60" t="str">
            <v>KA51AH6036</v>
          </cell>
        </row>
        <row r="61">
          <cell r="B61" t="str">
            <v>BM264</v>
          </cell>
          <cell r="C61" t="str">
            <v>KA51AH6037</v>
          </cell>
        </row>
        <row r="62">
          <cell r="B62" t="str">
            <v>BM191</v>
          </cell>
          <cell r="C62" t="str">
            <v>KA51AH6038</v>
          </cell>
        </row>
        <row r="63">
          <cell r="B63" t="str">
            <v>BM271</v>
          </cell>
          <cell r="C63" t="str">
            <v>KA51AH6095</v>
          </cell>
        </row>
        <row r="64">
          <cell r="B64" t="str">
            <v>BM275</v>
          </cell>
          <cell r="C64" t="str">
            <v>KA51AH6096</v>
          </cell>
        </row>
        <row r="65">
          <cell r="B65" t="str">
            <v>BM272</v>
          </cell>
          <cell r="C65" t="str">
            <v>KA51AH6097</v>
          </cell>
        </row>
        <row r="66">
          <cell r="B66" t="str">
            <v>BM273</v>
          </cell>
          <cell r="C66" t="str">
            <v>KA51AH6098</v>
          </cell>
        </row>
        <row r="67">
          <cell r="B67" t="str">
            <v>BM274</v>
          </cell>
          <cell r="C67" t="str">
            <v>KA51AH6099</v>
          </cell>
        </row>
        <row r="68">
          <cell r="B68" t="str">
            <v>BM279</v>
          </cell>
          <cell r="C68" t="str">
            <v>KA51AH6244</v>
          </cell>
        </row>
        <row r="69">
          <cell r="B69" t="str">
            <v>BM277</v>
          </cell>
          <cell r="C69" t="str">
            <v>KA51AH6245</v>
          </cell>
        </row>
        <row r="70">
          <cell r="B70" t="str">
            <v>BM278</v>
          </cell>
          <cell r="C70" t="str">
            <v>KA51AH6246</v>
          </cell>
        </row>
        <row r="71">
          <cell r="B71" t="str">
            <v>BM280</v>
          </cell>
          <cell r="C71" t="str">
            <v>KA51AH6247</v>
          </cell>
        </row>
        <row r="72">
          <cell r="B72" t="str">
            <v>BM284</v>
          </cell>
          <cell r="C72" t="str">
            <v>KA51AH6248</v>
          </cell>
        </row>
        <row r="73">
          <cell r="B73" t="str">
            <v>BM283</v>
          </cell>
          <cell r="C73" t="str">
            <v>KA51AH6249</v>
          </cell>
        </row>
        <row r="74">
          <cell r="B74" t="str">
            <v>BM276</v>
          </cell>
          <cell r="C74" t="str">
            <v>KA51AH6250</v>
          </cell>
        </row>
        <row r="75">
          <cell r="B75" t="str">
            <v>BM281</v>
          </cell>
          <cell r="C75" t="str">
            <v>KA51AH6251</v>
          </cell>
        </row>
        <row r="76">
          <cell r="B76" t="str">
            <v>BM285</v>
          </cell>
          <cell r="C76" t="str">
            <v>KA51AH6252</v>
          </cell>
        </row>
        <row r="77">
          <cell r="B77" t="str">
            <v>BM291</v>
          </cell>
          <cell r="C77" t="str">
            <v>KA51AH6466</v>
          </cell>
        </row>
        <row r="78">
          <cell r="B78" t="str">
            <v>BM290</v>
          </cell>
          <cell r="C78" t="str">
            <v>KA51AH6467</v>
          </cell>
        </row>
        <row r="79">
          <cell r="B79" t="str">
            <v>BM292</v>
          </cell>
          <cell r="C79" t="str">
            <v>KA51AH6468</v>
          </cell>
        </row>
        <row r="80">
          <cell r="B80" t="str">
            <v>BM286</v>
          </cell>
          <cell r="C80" t="str">
            <v>KA51AH6469</v>
          </cell>
        </row>
        <row r="81">
          <cell r="B81" t="str">
            <v>BM293</v>
          </cell>
          <cell r="C81" t="str">
            <v>KA51AH6470</v>
          </cell>
        </row>
        <row r="82">
          <cell r="B82" t="str">
            <v>BM289</v>
          </cell>
          <cell r="C82" t="str">
            <v>KA51AH6471</v>
          </cell>
        </row>
        <row r="83">
          <cell r="B83" t="str">
            <v>BM297</v>
          </cell>
          <cell r="C83" t="str">
            <v>KA51AH6472</v>
          </cell>
        </row>
        <row r="84">
          <cell r="B84" t="str">
            <v>BM294</v>
          </cell>
          <cell r="C84" t="str">
            <v>KA51AH6777</v>
          </cell>
        </row>
        <row r="85">
          <cell r="B85" t="str">
            <v>BM298</v>
          </cell>
          <cell r="C85" t="str">
            <v>KA51AH6778</v>
          </cell>
        </row>
        <row r="86">
          <cell r="B86" t="str">
            <v>BM296</v>
          </cell>
          <cell r="C86" t="str">
            <v>KA51AH6779</v>
          </cell>
        </row>
        <row r="87">
          <cell r="B87" t="str">
            <v>BM295</v>
          </cell>
          <cell r="C87" t="str">
            <v>KA51AH6780</v>
          </cell>
        </row>
        <row r="88">
          <cell r="B88" t="str">
            <v>BM300</v>
          </cell>
          <cell r="C88" t="str">
            <v>KA51AH6782</v>
          </cell>
        </row>
        <row r="89">
          <cell r="B89" t="str">
            <v>BM201</v>
          </cell>
          <cell r="C89" t="str">
            <v>KA51AH7656</v>
          </cell>
        </row>
        <row r="90">
          <cell r="B90" t="str">
            <v>BM287</v>
          </cell>
          <cell r="C90" t="str">
            <v>KA51AH7657</v>
          </cell>
        </row>
        <row r="91">
          <cell r="B91" t="str">
            <v>BM202</v>
          </cell>
          <cell r="C91" t="str">
            <v>KA51AH7658</v>
          </cell>
        </row>
        <row r="92">
          <cell r="B92" t="str">
            <v>BM200</v>
          </cell>
          <cell r="C92" t="str">
            <v>KA51AH7659</v>
          </cell>
        </row>
        <row r="93">
          <cell r="B93" t="str">
            <v>BM193</v>
          </cell>
          <cell r="C93" t="str">
            <v>KA51AH7660</v>
          </cell>
        </row>
        <row r="94">
          <cell r="B94" t="str">
            <v>BM197</v>
          </cell>
          <cell r="C94" t="str">
            <v>KA51AH7661</v>
          </cell>
        </row>
        <row r="95">
          <cell r="B95" t="str">
            <v>BM199</v>
          </cell>
          <cell r="C95" t="str">
            <v>KA51AH7662</v>
          </cell>
        </row>
        <row r="96">
          <cell r="B96" t="str">
            <v>BM299</v>
          </cell>
          <cell r="C96" t="str">
            <v>KA51AH7663</v>
          </cell>
        </row>
        <row r="97">
          <cell r="B97" t="str">
            <v>BM198</v>
          </cell>
          <cell r="C97" t="str">
            <v>KA51AH7664</v>
          </cell>
        </row>
        <row r="98">
          <cell r="B98" t="str">
            <v>BM204</v>
          </cell>
          <cell r="C98" t="str">
            <v>KA51AH7666</v>
          </cell>
        </row>
        <row r="99">
          <cell r="B99" t="str">
            <v>BM282</v>
          </cell>
          <cell r="C99" t="str">
            <v>KA51AH7667</v>
          </cell>
        </row>
        <row r="100">
          <cell r="B100" t="str">
            <v>BM209</v>
          </cell>
          <cell r="C100" t="str">
            <v>KA51AH7668</v>
          </cell>
        </row>
        <row r="101">
          <cell r="B101" t="str">
            <v>BM206</v>
          </cell>
          <cell r="C101" t="str">
            <v>KA51AH7669</v>
          </cell>
        </row>
        <row r="102">
          <cell r="B102" t="str">
            <v>BM203</v>
          </cell>
          <cell r="C102" t="str">
            <v>KA51AH7670</v>
          </cell>
        </row>
        <row r="103">
          <cell r="B103" t="str">
            <v>BM207</v>
          </cell>
          <cell r="C103" t="str">
            <v>KA51AH7671</v>
          </cell>
        </row>
        <row r="104">
          <cell r="B104" t="str">
            <v>BM288</v>
          </cell>
          <cell r="C104" t="str">
            <v>KA51AH7672</v>
          </cell>
        </row>
        <row r="105">
          <cell r="B105" t="str">
            <v>BM205</v>
          </cell>
          <cell r="C105" t="str">
            <v>KA51AH7673</v>
          </cell>
        </row>
        <row r="106">
          <cell r="B106" t="str">
            <v>BM208</v>
          </cell>
          <cell r="C106" t="str">
            <v>KA51AH7775</v>
          </cell>
        </row>
        <row r="107">
          <cell r="B107" t="str">
            <v>BM212</v>
          </cell>
          <cell r="C107" t="str">
            <v>KA51AH7779</v>
          </cell>
        </row>
        <row r="108">
          <cell r="B108" t="str">
            <v>BM213</v>
          </cell>
          <cell r="C108" t="str">
            <v>KA51AH8179</v>
          </cell>
        </row>
        <row r="109">
          <cell r="B109" t="str">
            <v>BM220</v>
          </cell>
          <cell r="C109" t="str">
            <v>KA51AH8180</v>
          </cell>
        </row>
        <row r="110">
          <cell r="B110" t="str">
            <v>BM219</v>
          </cell>
          <cell r="C110" t="str">
            <v>KA51AH8181</v>
          </cell>
        </row>
        <row r="111">
          <cell r="B111" t="str">
            <v>BM218</v>
          </cell>
          <cell r="C111" t="str">
            <v>KA51AH8182</v>
          </cell>
        </row>
        <row r="112">
          <cell r="B112" t="str">
            <v>BM222</v>
          </cell>
          <cell r="C112" t="str">
            <v>KA51AH8183</v>
          </cell>
        </row>
        <row r="113">
          <cell r="B113" t="str">
            <v>BM221</v>
          </cell>
          <cell r="C113" t="str">
            <v>KA51AH8184</v>
          </cell>
        </row>
        <row r="114">
          <cell r="B114" t="str">
            <v>BM224</v>
          </cell>
          <cell r="C114" t="str">
            <v>KA51AH8185</v>
          </cell>
        </row>
        <row r="115">
          <cell r="B115" t="str">
            <v>BM216</v>
          </cell>
          <cell r="C115" t="str">
            <v>KA51AH8281</v>
          </cell>
        </row>
        <row r="116">
          <cell r="B116" t="str">
            <v>BM223</v>
          </cell>
          <cell r="C116" t="str">
            <v>KA51AH8283</v>
          </cell>
        </row>
        <row r="117">
          <cell r="B117" t="str">
            <v>BM217</v>
          </cell>
          <cell r="C117" t="str">
            <v>KA51AH8284</v>
          </cell>
        </row>
        <row r="118">
          <cell r="B118" t="str">
            <v>BM215</v>
          </cell>
          <cell r="C118" t="str">
            <v>KA51AH8346</v>
          </cell>
        </row>
        <row r="119">
          <cell r="B119" t="str">
            <v>BM214</v>
          </cell>
          <cell r="C119" t="str">
            <v>KA51AH8348</v>
          </cell>
        </row>
        <row r="120">
          <cell r="B120" t="str">
            <v>BM225</v>
          </cell>
          <cell r="C120" t="str">
            <v>KA51AH8349</v>
          </cell>
        </row>
        <row r="121">
          <cell r="B121" t="str">
            <v>BM210</v>
          </cell>
          <cell r="C121" t="str">
            <v>KA51AH8350</v>
          </cell>
        </row>
        <row r="122">
          <cell r="B122" t="str">
            <v>BM304</v>
          </cell>
          <cell r="C122" t="str">
            <v>KA51AJ0137</v>
          </cell>
        </row>
        <row r="123">
          <cell r="B123" t="str">
            <v>BM303</v>
          </cell>
          <cell r="C123" t="str">
            <v>KA51AJ0138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BM001</v>
          </cell>
          <cell r="C2" t="str">
            <v>KA51AH4144</v>
          </cell>
        </row>
        <row r="3">
          <cell r="B3" t="str">
            <v>BM002</v>
          </cell>
          <cell r="C3" t="str">
            <v>KA51AH2434</v>
          </cell>
        </row>
        <row r="4">
          <cell r="B4" t="str">
            <v>BM003</v>
          </cell>
          <cell r="C4" t="str">
            <v>KA51AH2423</v>
          </cell>
        </row>
        <row r="5">
          <cell r="B5" t="str">
            <v>BM004</v>
          </cell>
          <cell r="C5" t="str">
            <v>KA51AH2429</v>
          </cell>
        </row>
        <row r="6">
          <cell r="B6" t="str">
            <v>BM005</v>
          </cell>
          <cell r="C6" t="str">
            <v>KA51AH2421</v>
          </cell>
        </row>
        <row r="7">
          <cell r="B7" t="str">
            <v>BM006</v>
          </cell>
          <cell r="C7" t="str">
            <v>KA51AH2425</v>
          </cell>
        </row>
        <row r="8">
          <cell r="B8" t="str">
            <v>BM007</v>
          </cell>
          <cell r="C8" t="str">
            <v>KA51AH2426</v>
          </cell>
        </row>
        <row r="9">
          <cell r="B9" t="str">
            <v>BM008</v>
          </cell>
          <cell r="C9" t="str">
            <v>KA51AH2428</v>
          </cell>
        </row>
        <row r="10">
          <cell r="B10" t="str">
            <v>BM009</v>
          </cell>
          <cell r="C10" t="str">
            <v>KA51AH2422</v>
          </cell>
        </row>
        <row r="11">
          <cell r="B11" t="str">
            <v>BM010</v>
          </cell>
          <cell r="C11" t="str">
            <v>KA51AH2424</v>
          </cell>
        </row>
        <row r="12">
          <cell r="B12" t="str">
            <v>BM011</v>
          </cell>
          <cell r="C12" t="str">
            <v>KA51AH2427</v>
          </cell>
        </row>
        <row r="13">
          <cell r="B13" t="str">
            <v>BM012</v>
          </cell>
          <cell r="C13" t="str">
            <v>KA51AH2551</v>
          </cell>
        </row>
        <row r="14">
          <cell r="B14" t="str">
            <v>BM013</v>
          </cell>
          <cell r="C14" t="str">
            <v>KA51AH2548</v>
          </cell>
        </row>
        <row r="15">
          <cell r="B15" t="str">
            <v>BM014</v>
          </cell>
          <cell r="C15" t="str">
            <v>KA51AH2550</v>
          </cell>
        </row>
        <row r="16">
          <cell r="B16" t="str">
            <v>BM015</v>
          </cell>
          <cell r="C16" t="str">
            <v>KA51AH2549</v>
          </cell>
        </row>
        <row r="17">
          <cell r="B17" t="str">
            <v>BM016</v>
          </cell>
          <cell r="C17" t="str">
            <v>KA51AH2553</v>
          </cell>
        </row>
        <row r="18">
          <cell r="B18" t="str">
            <v>BM017</v>
          </cell>
          <cell r="C18" t="str">
            <v>KA51AH2557</v>
          </cell>
        </row>
        <row r="19">
          <cell r="B19" t="str">
            <v>BM018</v>
          </cell>
          <cell r="C19" t="str">
            <v>KA51AH2558</v>
          </cell>
        </row>
        <row r="20">
          <cell r="B20" t="str">
            <v>BM019</v>
          </cell>
          <cell r="C20" t="str">
            <v>KA51AH2552</v>
          </cell>
        </row>
        <row r="21">
          <cell r="B21" t="str">
            <v>BM020</v>
          </cell>
          <cell r="C21" t="str">
            <v>KA51AH2556</v>
          </cell>
        </row>
        <row r="22">
          <cell r="B22" t="str">
            <v>BM021</v>
          </cell>
          <cell r="C22" t="str">
            <v>KA51AH2554</v>
          </cell>
        </row>
        <row r="23">
          <cell r="B23" t="str">
            <v>BM022</v>
          </cell>
          <cell r="C23" t="str">
            <v>KA51AH2555</v>
          </cell>
        </row>
        <row r="24">
          <cell r="B24" t="str">
            <v>BM023</v>
          </cell>
          <cell r="C24" t="str">
            <v>KA51AH2624</v>
          </cell>
        </row>
        <row r="25">
          <cell r="B25" t="str">
            <v>BM024</v>
          </cell>
          <cell r="C25" t="str">
            <v>KA51AH2619</v>
          </cell>
        </row>
        <row r="26">
          <cell r="B26" t="str">
            <v>BM025</v>
          </cell>
          <cell r="C26" t="str">
            <v>KA51AH2620</v>
          </cell>
        </row>
        <row r="27">
          <cell r="B27" t="str">
            <v>BM026</v>
          </cell>
          <cell r="C27" t="str">
            <v>KA51AH2623</v>
          </cell>
        </row>
        <row r="28">
          <cell r="B28" t="str">
            <v>BM027</v>
          </cell>
          <cell r="C28" t="str">
            <v>KA51AH2617</v>
          </cell>
        </row>
        <row r="29">
          <cell r="B29" t="str">
            <v>BM028</v>
          </cell>
          <cell r="C29" t="str">
            <v>KA51AH2621</v>
          </cell>
        </row>
        <row r="30">
          <cell r="B30" t="str">
            <v>BM029</v>
          </cell>
          <cell r="C30" t="str">
            <v>KA51AH2618</v>
          </cell>
        </row>
        <row r="31">
          <cell r="B31" t="str">
            <v>BM030</v>
          </cell>
          <cell r="C31" t="str">
            <v>KA51AH2622</v>
          </cell>
        </row>
        <row r="32">
          <cell r="B32" t="str">
            <v>BM031</v>
          </cell>
          <cell r="C32" t="str">
            <v>KA51AH2738</v>
          </cell>
        </row>
        <row r="33">
          <cell r="B33" t="str">
            <v>BM032</v>
          </cell>
          <cell r="C33" t="str">
            <v>KA51AH2739</v>
          </cell>
        </row>
        <row r="34">
          <cell r="B34" t="str">
            <v>BM033</v>
          </cell>
          <cell r="C34" t="str">
            <v>KA51AH2740</v>
          </cell>
        </row>
        <row r="35">
          <cell r="B35" t="str">
            <v>BM034</v>
          </cell>
          <cell r="C35" t="str">
            <v>KA51AH2743</v>
          </cell>
        </row>
        <row r="36">
          <cell r="B36" t="str">
            <v>BM035</v>
          </cell>
          <cell r="C36" t="str">
            <v>KA51AH2944</v>
          </cell>
        </row>
        <row r="37">
          <cell r="B37" t="str">
            <v>BM036</v>
          </cell>
          <cell r="C37" t="str">
            <v>KA51AH2745</v>
          </cell>
        </row>
        <row r="38">
          <cell r="B38" t="str">
            <v>BM037</v>
          </cell>
          <cell r="C38" t="str">
            <v>KA51AH2744</v>
          </cell>
        </row>
        <row r="39">
          <cell r="B39" t="str">
            <v>BM038</v>
          </cell>
          <cell r="C39" t="str">
            <v>KA51AH2741</v>
          </cell>
        </row>
        <row r="40">
          <cell r="B40" t="str">
            <v>BM039</v>
          </cell>
          <cell r="C40" t="str">
            <v>KA51AH2742</v>
          </cell>
        </row>
        <row r="41">
          <cell r="B41" t="str">
            <v>BM040</v>
          </cell>
          <cell r="C41" t="str">
            <v>KA51AH2945</v>
          </cell>
        </row>
        <row r="42">
          <cell r="B42" t="str">
            <v>BM041</v>
          </cell>
          <cell r="C42" t="str">
            <v>KA51AH2947</v>
          </cell>
        </row>
        <row r="43">
          <cell r="B43" t="str">
            <v>BM042</v>
          </cell>
          <cell r="C43" t="str">
            <v>KA51AH2946</v>
          </cell>
        </row>
        <row r="44">
          <cell r="B44" t="str">
            <v>BM043</v>
          </cell>
          <cell r="C44" t="str">
            <v>KA51AH3264</v>
          </cell>
        </row>
        <row r="45">
          <cell r="B45" t="str">
            <v>BM044</v>
          </cell>
          <cell r="C45" t="str">
            <v>KA51AH2942</v>
          </cell>
        </row>
        <row r="46">
          <cell r="B46" t="str">
            <v>BM045</v>
          </cell>
          <cell r="C46" t="str">
            <v>KA51AH2943</v>
          </cell>
        </row>
        <row r="47">
          <cell r="B47" t="str">
            <v>BM046</v>
          </cell>
          <cell r="C47" t="str">
            <v>KA51AH2939</v>
          </cell>
        </row>
        <row r="48">
          <cell r="B48" t="str">
            <v>BM047</v>
          </cell>
          <cell r="C48" t="str">
            <v>KA51AH2948</v>
          </cell>
        </row>
        <row r="49">
          <cell r="B49" t="str">
            <v>BM048</v>
          </cell>
          <cell r="C49" t="str">
            <v>KA51AH2940</v>
          </cell>
        </row>
        <row r="50">
          <cell r="B50" t="str">
            <v>BM049</v>
          </cell>
          <cell r="C50" t="str">
            <v>KA51AH2941</v>
          </cell>
        </row>
        <row r="51">
          <cell r="B51" t="str">
            <v>BM050</v>
          </cell>
          <cell r="C51" t="str">
            <v>KA51AH2954</v>
          </cell>
        </row>
        <row r="52">
          <cell r="B52" t="str">
            <v>BM051</v>
          </cell>
          <cell r="C52" t="str">
            <v>KA51AH2957</v>
          </cell>
        </row>
        <row r="53">
          <cell r="B53" t="str">
            <v>BM052</v>
          </cell>
          <cell r="C53" t="str">
            <v>KA51AH2955</v>
          </cell>
        </row>
        <row r="54">
          <cell r="B54" t="str">
            <v>BM053</v>
          </cell>
          <cell r="C54" t="str">
            <v>KA51AH2949</v>
          </cell>
        </row>
        <row r="55">
          <cell r="B55" t="str">
            <v>BM054</v>
          </cell>
          <cell r="C55" t="str">
            <v>KA51AH2951</v>
          </cell>
        </row>
        <row r="56">
          <cell r="B56" t="str">
            <v>BM055</v>
          </cell>
          <cell r="C56" t="str">
            <v>KA51AH2958</v>
          </cell>
        </row>
        <row r="57">
          <cell r="B57" t="str">
            <v>BM056</v>
          </cell>
          <cell r="C57" t="str">
            <v>KA51AH2953</v>
          </cell>
        </row>
        <row r="58">
          <cell r="B58" t="str">
            <v>BM057</v>
          </cell>
          <cell r="C58" t="str">
            <v>KA51AH2956</v>
          </cell>
        </row>
        <row r="59">
          <cell r="B59" t="str">
            <v>BM058</v>
          </cell>
          <cell r="C59" t="str">
            <v>KA51AH3603</v>
          </cell>
        </row>
        <row r="60">
          <cell r="B60" t="str">
            <v>BM059</v>
          </cell>
          <cell r="C60" t="str">
            <v>KA51AH2950</v>
          </cell>
        </row>
        <row r="61">
          <cell r="B61" t="str">
            <v>BM060</v>
          </cell>
          <cell r="C61" t="str">
            <v>KA51AH2952</v>
          </cell>
        </row>
        <row r="62">
          <cell r="B62" t="str">
            <v>BM061</v>
          </cell>
          <cell r="C62" t="str">
            <v>KA51AH3273</v>
          </cell>
        </row>
        <row r="63">
          <cell r="B63" t="str">
            <v>BM062</v>
          </cell>
          <cell r="C63" t="str">
            <v>KA51AH3269</v>
          </cell>
        </row>
        <row r="64">
          <cell r="B64" t="str">
            <v>BM063</v>
          </cell>
          <cell r="C64" t="str">
            <v>KA51AH3272</v>
          </cell>
        </row>
        <row r="65">
          <cell r="B65" t="str">
            <v>BM064</v>
          </cell>
          <cell r="C65" t="str">
            <v>KA51AH3271</v>
          </cell>
        </row>
        <row r="66">
          <cell r="B66" t="str">
            <v>BM065</v>
          </cell>
          <cell r="C66" t="str">
            <v>KA51AH3270</v>
          </cell>
        </row>
        <row r="67">
          <cell r="B67" t="str">
            <v>BM066</v>
          </cell>
          <cell r="C67" t="str">
            <v>KA51AH3274</v>
          </cell>
        </row>
        <row r="68">
          <cell r="B68" t="str">
            <v>BM067</v>
          </cell>
          <cell r="C68" t="str">
            <v>KA51AH3267</v>
          </cell>
        </row>
        <row r="69">
          <cell r="B69" t="str">
            <v>BM068</v>
          </cell>
          <cell r="C69" t="str">
            <v>KA51AH3268</v>
          </cell>
        </row>
        <row r="70">
          <cell r="B70" t="str">
            <v>BM069</v>
          </cell>
          <cell r="C70" t="str">
            <v>KA51AH3266</v>
          </cell>
        </row>
        <row r="71">
          <cell r="B71" t="str">
            <v>BM070</v>
          </cell>
          <cell r="C71" t="str">
            <v>KA51AH3265</v>
          </cell>
        </row>
        <row r="72">
          <cell r="B72" t="str">
            <v>BM071</v>
          </cell>
          <cell r="C72" t="str">
            <v>KA51AH3329</v>
          </cell>
        </row>
        <row r="73">
          <cell r="B73" t="str">
            <v>BM072</v>
          </cell>
          <cell r="C73" t="str">
            <v>KA51AH3328</v>
          </cell>
        </row>
        <row r="74">
          <cell r="B74" t="str">
            <v>BM073</v>
          </cell>
          <cell r="C74" t="str">
            <v>KA51AH3335</v>
          </cell>
        </row>
        <row r="75">
          <cell r="B75" t="str">
            <v>BM074</v>
          </cell>
          <cell r="C75" t="str">
            <v>KA51AH3604</v>
          </cell>
        </row>
        <row r="76">
          <cell r="B76" t="str">
            <v>BM075</v>
          </cell>
          <cell r="C76" t="str">
            <v>KA51AH3122</v>
          </cell>
        </row>
        <row r="77">
          <cell r="B77" t="str">
            <v>BM076</v>
          </cell>
          <cell r="C77" t="str">
            <v>KA51AH8347</v>
          </cell>
        </row>
        <row r="78">
          <cell r="B78" t="str">
            <v>BM077</v>
          </cell>
          <cell r="C78" t="str">
            <v>KA51AH7665</v>
          </cell>
        </row>
        <row r="79">
          <cell r="B79" t="str">
            <v>BM078</v>
          </cell>
          <cell r="C79" t="str">
            <v>KA51AH3123</v>
          </cell>
        </row>
        <row r="80">
          <cell r="B80" t="str">
            <v>BM079</v>
          </cell>
          <cell r="C80" t="str">
            <v>KA51AH3121</v>
          </cell>
        </row>
        <row r="81">
          <cell r="B81" t="str">
            <v>BM080</v>
          </cell>
          <cell r="C81" t="str">
            <v>KA51AH3336</v>
          </cell>
        </row>
        <row r="82">
          <cell r="B82" t="str">
            <v>BM081</v>
          </cell>
          <cell r="C82" t="str">
            <v>KA51AH3129</v>
          </cell>
        </row>
        <row r="83">
          <cell r="B83" t="str">
            <v>BM082</v>
          </cell>
          <cell r="C83" t="str">
            <v>KA51AH3131</v>
          </cell>
        </row>
        <row r="84">
          <cell r="B84" t="str">
            <v>BM083</v>
          </cell>
          <cell r="C84" t="str">
            <v>KA51AH3124</v>
          </cell>
        </row>
        <row r="85">
          <cell r="B85" t="str">
            <v>BM084</v>
          </cell>
          <cell r="C85" t="str">
            <v>KA51AH3130</v>
          </cell>
        </row>
        <row r="86">
          <cell r="B86" t="str">
            <v>BM085</v>
          </cell>
          <cell r="C86" t="str">
            <v>KA51AH3128</v>
          </cell>
        </row>
        <row r="87">
          <cell r="B87" t="str">
            <v>BM086</v>
          </cell>
          <cell r="C87" t="str">
            <v>KA51AH3125</v>
          </cell>
        </row>
        <row r="88">
          <cell r="B88" t="str">
            <v>BM087</v>
          </cell>
          <cell r="C88" t="str">
            <v>KA51AH3126</v>
          </cell>
        </row>
        <row r="89">
          <cell r="B89" t="str">
            <v>BM088</v>
          </cell>
          <cell r="C89" t="str">
            <v>KA51AH3127</v>
          </cell>
        </row>
        <row r="90">
          <cell r="B90" t="str">
            <v>BM089</v>
          </cell>
          <cell r="C90" t="str">
            <v>KA51AH3332</v>
          </cell>
        </row>
        <row r="91">
          <cell r="B91" t="str">
            <v>BM090</v>
          </cell>
          <cell r="C91" t="str">
            <v>KA51AH3331</v>
          </cell>
        </row>
        <row r="92">
          <cell r="B92" t="str">
            <v>BM091</v>
          </cell>
          <cell r="C92" t="str">
            <v>KA51AH3327</v>
          </cell>
        </row>
        <row r="93">
          <cell r="B93" t="str">
            <v>BM092</v>
          </cell>
          <cell r="C93" t="str">
            <v>KA51AH3334</v>
          </cell>
        </row>
        <row r="94">
          <cell r="B94" t="str">
            <v>BM093</v>
          </cell>
          <cell r="C94" t="str">
            <v>KA51AH3338</v>
          </cell>
        </row>
        <row r="95">
          <cell r="B95" t="str">
            <v>BM094</v>
          </cell>
          <cell r="C95" t="str">
            <v>KA51AH3330</v>
          </cell>
        </row>
        <row r="96">
          <cell r="B96" t="str">
            <v>BM095</v>
          </cell>
          <cell r="C96" t="str">
            <v>KA51AH3337</v>
          </cell>
        </row>
        <row r="97">
          <cell r="B97" t="str">
            <v>BM096</v>
          </cell>
          <cell r="C97" t="str">
            <v>KA51AH3601</v>
          </cell>
        </row>
        <row r="98">
          <cell r="B98" t="str">
            <v>BM097</v>
          </cell>
          <cell r="C98" t="str">
            <v>KA51AH3602</v>
          </cell>
        </row>
        <row r="99">
          <cell r="B99" t="str">
            <v>BM098</v>
          </cell>
          <cell r="C99" t="str">
            <v>KA51AH3654</v>
          </cell>
        </row>
        <row r="100">
          <cell r="B100" t="str">
            <v>BM099</v>
          </cell>
          <cell r="C100" t="str">
            <v>KA51AH4061</v>
          </cell>
        </row>
        <row r="101">
          <cell r="B101" t="str">
            <v>BM100</v>
          </cell>
          <cell r="C101" t="str">
            <v>KA51AH3657</v>
          </cell>
        </row>
        <row r="102">
          <cell r="B102" t="str">
            <v>BM100</v>
          </cell>
          <cell r="C102" t="str">
            <v>KA51AH3657</v>
          </cell>
        </row>
        <row r="103">
          <cell r="B103" t="str">
            <v>BM101</v>
          </cell>
          <cell r="C103" t="str">
            <v>KA51AH3659</v>
          </cell>
        </row>
        <row r="104">
          <cell r="B104" t="str">
            <v>BM102</v>
          </cell>
          <cell r="C104" t="str">
            <v>KA51AH3656</v>
          </cell>
        </row>
        <row r="105">
          <cell r="B105" t="str">
            <v>BM103</v>
          </cell>
          <cell r="C105" t="str">
            <v>KA51AH3655</v>
          </cell>
        </row>
        <row r="106">
          <cell r="B106" t="str">
            <v>BM104</v>
          </cell>
          <cell r="C106" t="str">
            <v>KA51AH4059</v>
          </cell>
        </row>
        <row r="107">
          <cell r="B107" t="str">
            <v>BM105</v>
          </cell>
          <cell r="C107" t="str">
            <v>KA51AH3658</v>
          </cell>
        </row>
        <row r="108">
          <cell r="B108" t="str">
            <v>BM106</v>
          </cell>
          <cell r="C108" t="str">
            <v>KA51AH3660</v>
          </cell>
        </row>
        <row r="109">
          <cell r="B109" t="str">
            <v>BM107</v>
          </cell>
          <cell r="C109" t="str">
            <v>KA51AH4062</v>
          </cell>
        </row>
        <row r="110">
          <cell r="B110" t="str">
            <v>BM108</v>
          </cell>
          <cell r="C110" t="str">
            <v>KA51AH4060</v>
          </cell>
        </row>
        <row r="111">
          <cell r="B111" t="str">
            <v>BM109</v>
          </cell>
          <cell r="C111" t="str">
            <v>KA51AH4064</v>
          </cell>
        </row>
        <row r="112">
          <cell r="B112" t="str">
            <v>BM110</v>
          </cell>
          <cell r="C112" t="str">
            <v>KA51AH4067</v>
          </cell>
        </row>
        <row r="113">
          <cell r="B113" t="str">
            <v>BM111</v>
          </cell>
          <cell r="C113" t="str">
            <v>KA51AH4063</v>
          </cell>
        </row>
        <row r="114">
          <cell r="B114" t="str">
            <v>BM112</v>
          </cell>
          <cell r="C114" t="str">
            <v>KA51AH4243</v>
          </cell>
        </row>
        <row r="115">
          <cell r="B115" t="str">
            <v>BM113</v>
          </cell>
          <cell r="C115" t="str">
            <v>KA51AH4066</v>
          </cell>
        </row>
        <row r="116">
          <cell r="B116" t="str">
            <v>BM114</v>
          </cell>
          <cell r="C116" t="str">
            <v>KA51AH4069</v>
          </cell>
        </row>
        <row r="117">
          <cell r="B117" t="str">
            <v>BM115</v>
          </cell>
          <cell r="C117" t="str">
            <v>KA51AH4065</v>
          </cell>
        </row>
        <row r="118">
          <cell r="B118" t="str">
            <v>BM116</v>
          </cell>
          <cell r="C118" t="str">
            <v>KA51AH4068</v>
          </cell>
        </row>
        <row r="119">
          <cell r="B119" t="str">
            <v>BM117</v>
          </cell>
          <cell r="C119" t="str">
            <v>KA51AH4127</v>
          </cell>
        </row>
        <row r="120">
          <cell r="B120" t="str">
            <v>BM118</v>
          </cell>
          <cell r="C120" t="str">
            <v>KA51AH4128</v>
          </cell>
        </row>
        <row r="121">
          <cell r="B121" t="str">
            <v>BM119</v>
          </cell>
          <cell r="C121" t="str">
            <v>KA51AH4129</v>
          </cell>
        </row>
        <row r="122">
          <cell r="B122" t="str">
            <v>BM120</v>
          </cell>
          <cell r="C122" t="str">
            <v>KA51AH4130</v>
          </cell>
        </row>
        <row r="123">
          <cell r="B123" t="str">
            <v>BM121</v>
          </cell>
          <cell r="C123" t="str">
            <v>KA51AH4149</v>
          </cell>
        </row>
        <row r="124">
          <cell r="B124" t="str">
            <v>BM122</v>
          </cell>
          <cell r="C124" t="str">
            <v>KA51AH4151</v>
          </cell>
        </row>
        <row r="125">
          <cell r="B125" t="str">
            <v>BM123</v>
          </cell>
          <cell r="C125" t="str">
            <v>KA51AH4145</v>
          </cell>
        </row>
        <row r="126">
          <cell r="B126" t="str">
            <v>BM124</v>
          </cell>
          <cell r="C126" t="str">
            <v>KA51AH4146</v>
          </cell>
        </row>
        <row r="127">
          <cell r="B127" t="str">
            <v>BM125</v>
          </cell>
          <cell r="C127" t="str">
            <v>KA51AH4147</v>
          </cell>
        </row>
        <row r="128">
          <cell r="B128" t="str">
            <v>BM126</v>
          </cell>
          <cell r="C128" t="str">
            <v>KA51AH4150</v>
          </cell>
        </row>
        <row r="129">
          <cell r="B129" t="str">
            <v>BM127</v>
          </cell>
          <cell r="C129" t="str">
            <v>KA51AH4148</v>
          </cell>
        </row>
        <row r="130">
          <cell r="B130" t="str">
            <v>BM128</v>
          </cell>
          <cell r="C130" t="str">
            <v>KA51AH4152</v>
          </cell>
        </row>
        <row r="131">
          <cell r="B131" t="str">
            <v>BM129</v>
          </cell>
          <cell r="C131" t="str">
            <v>KA51AH4153</v>
          </cell>
        </row>
        <row r="132">
          <cell r="B132" t="str">
            <v>BM130</v>
          </cell>
          <cell r="C132" t="str">
            <v>KA51AH4787</v>
          </cell>
        </row>
        <row r="133">
          <cell r="B133" t="str">
            <v>BM131</v>
          </cell>
          <cell r="C133" t="str">
            <v>KA51AH4249</v>
          </cell>
        </row>
        <row r="134">
          <cell r="B134" t="str">
            <v>BM132</v>
          </cell>
          <cell r="C134" t="str">
            <v>KA51AH4241</v>
          </cell>
        </row>
        <row r="135">
          <cell r="B135" t="str">
            <v>BM133</v>
          </cell>
          <cell r="C135" t="str">
            <v>KA51AH4248</v>
          </cell>
        </row>
        <row r="136">
          <cell r="B136" t="str">
            <v>BM134</v>
          </cell>
          <cell r="C136" t="str">
            <v>KA51AH4246</v>
          </cell>
        </row>
        <row r="137">
          <cell r="B137" t="str">
            <v>BM135</v>
          </cell>
          <cell r="C137" t="str">
            <v>KA51AH4244</v>
          </cell>
        </row>
        <row r="138">
          <cell r="B138" t="str">
            <v>BM136</v>
          </cell>
          <cell r="C138" t="str">
            <v>KA51AH4240</v>
          </cell>
        </row>
        <row r="139">
          <cell r="B139" t="str">
            <v>BM137</v>
          </cell>
          <cell r="C139" t="str">
            <v>KA51AH4247</v>
          </cell>
        </row>
        <row r="140">
          <cell r="B140" t="str">
            <v>BM138</v>
          </cell>
          <cell r="C140" t="str">
            <v>KA51AH4239</v>
          </cell>
        </row>
        <row r="141">
          <cell r="B141" t="str">
            <v>BM139</v>
          </cell>
          <cell r="C141" t="str">
            <v>KA51AH4245</v>
          </cell>
        </row>
        <row r="142">
          <cell r="B142" t="str">
            <v>BM140</v>
          </cell>
          <cell r="C142" t="str">
            <v>KA51AH4238</v>
          </cell>
        </row>
        <row r="143">
          <cell r="B143" t="str">
            <v>BM141</v>
          </cell>
          <cell r="C143" t="str">
            <v>KA51AH4242</v>
          </cell>
        </row>
        <row r="144">
          <cell r="B144" t="str">
            <v>BM142</v>
          </cell>
          <cell r="C144" t="str">
            <v>KA51AH4546</v>
          </cell>
        </row>
        <row r="145">
          <cell r="B145" t="str">
            <v>BM143</v>
          </cell>
          <cell r="C145" t="str">
            <v>KA51AH4545</v>
          </cell>
        </row>
        <row r="146">
          <cell r="B146" t="str">
            <v>BM144</v>
          </cell>
          <cell r="C146" t="str">
            <v>KA51AH4547</v>
          </cell>
        </row>
        <row r="147">
          <cell r="B147" t="str">
            <v>BM145</v>
          </cell>
          <cell r="C147" t="str">
            <v>KA51AH4648</v>
          </cell>
        </row>
        <row r="148">
          <cell r="B148" t="str">
            <v>BM146</v>
          </cell>
          <cell r="C148" t="str">
            <v>KA51AH4653</v>
          </cell>
        </row>
        <row r="149">
          <cell r="B149" t="str">
            <v>BM147</v>
          </cell>
          <cell r="C149" t="str">
            <v>KA51AH4542</v>
          </cell>
        </row>
        <row r="150">
          <cell r="B150" t="str">
            <v>BM148</v>
          </cell>
          <cell r="C150" t="str">
            <v>KA51AH4641</v>
          </cell>
        </row>
        <row r="151">
          <cell r="B151" t="str">
            <v>BM149</v>
          </cell>
          <cell r="C151" t="str">
            <v>KA51AH4640</v>
          </cell>
        </row>
        <row r="152">
          <cell r="B152" t="str">
            <v>BM150</v>
          </cell>
          <cell r="C152" t="str">
            <v>KA51AH4642</v>
          </cell>
        </row>
        <row r="153">
          <cell r="B153" t="str">
            <v>BM151</v>
          </cell>
          <cell r="C153" t="str">
            <v>KA51AH4650</v>
          </cell>
        </row>
        <row r="154">
          <cell r="B154" t="str">
            <v>BM152</v>
          </cell>
          <cell r="C154" t="str">
            <v>KA51AH4652</v>
          </cell>
        </row>
        <row r="155">
          <cell r="B155" t="str">
            <v>BM153</v>
          </cell>
          <cell r="C155" t="str">
            <v>KA51AH4643</v>
          </cell>
        </row>
        <row r="156">
          <cell r="B156" t="str">
            <v>BM154</v>
          </cell>
          <cell r="C156" t="str">
            <v>KA51AH4646</v>
          </cell>
        </row>
        <row r="157">
          <cell r="B157" t="str">
            <v>BM155</v>
          </cell>
          <cell r="C157" t="str">
            <v>KA51AH4651</v>
          </cell>
        </row>
        <row r="158">
          <cell r="B158" t="str">
            <v>BM156</v>
          </cell>
          <cell r="C158" t="str">
            <v>KA51AH4795</v>
          </cell>
        </row>
        <row r="159">
          <cell r="B159" t="str">
            <v>BM157</v>
          </cell>
          <cell r="C159" t="str">
            <v>KA51AH4800</v>
          </cell>
        </row>
        <row r="160">
          <cell r="B160" t="str">
            <v>BM158</v>
          </cell>
          <cell r="C160" t="str">
            <v>KA51AH4796</v>
          </cell>
        </row>
        <row r="161">
          <cell r="B161" t="str">
            <v>BM159</v>
          </cell>
          <cell r="C161" t="str">
            <v>KA51AH4794</v>
          </cell>
        </row>
        <row r="162">
          <cell r="B162" t="str">
            <v>BM160</v>
          </cell>
          <cell r="C162" t="str">
            <v>KA51AH4792</v>
          </cell>
        </row>
        <row r="163">
          <cell r="B163" t="str">
            <v>BM161</v>
          </cell>
          <cell r="C163" t="str">
            <v>KA51AH5634</v>
          </cell>
        </row>
        <row r="164">
          <cell r="B164" t="str">
            <v>BM162</v>
          </cell>
          <cell r="C164" t="str">
            <v>KA51AH5638</v>
          </cell>
        </row>
        <row r="165">
          <cell r="B165" t="str">
            <v>BM163</v>
          </cell>
          <cell r="C165" t="str">
            <v>KA51AH5716</v>
          </cell>
        </row>
        <row r="166">
          <cell r="B166" t="str">
            <v>BM164</v>
          </cell>
          <cell r="C166" t="str">
            <v>KA51AH5636</v>
          </cell>
        </row>
        <row r="167">
          <cell r="B167" t="str">
            <v>BM165</v>
          </cell>
          <cell r="C167" t="str">
            <v>KA51AH5629</v>
          </cell>
        </row>
        <row r="168">
          <cell r="B168" t="str">
            <v>BM166</v>
          </cell>
          <cell r="C168" t="str">
            <v>KA51AH5633</v>
          </cell>
        </row>
        <row r="169">
          <cell r="B169" t="str">
            <v>BM167</v>
          </cell>
          <cell r="C169" t="str">
            <v>KA51AH5632</v>
          </cell>
        </row>
        <row r="170">
          <cell r="B170" t="str">
            <v>BM168</v>
          </cell>
          <cell r="C170" t="str">
            <v>KA51AH5637</v>
          </cell>
        </row>
        <row r="171">
          <cell r="B171" t="str">
            <v>BM169</v>
          </cell>
          <cell r="C171" t="str">
            <v>KA51AH5630</v>
          </cell>
        </row>
        <row r="172">
          <cell r="B172" t="str">
            <v>BM170</v>
          </cell>
          <cell r="C172" t="str">
            <v>KA51AH5631</v>
          </cell>
        </row>
        <row r="173">
          <cell r="B173" t="str">
            <v>BM171</v>
          </cell>
          <cell r="C173" t="str">
            <v>KA51AH5713</v>
          </cell>
        </row>
        <row r="174">
          <cell r="B174" t="str">
            <v>BM172</v>
          </cell>
          <cell r="C174" t="str">
            <v>KA51AH5635</v>
          </cell>
        </row>
        <row r="175">
          <cell r="B175" t="str">
            <v>BM173</v>
          </cell>
          <cell r="C175" t="str">
            <v>KA51AH5721</v>
          </cell>
        </row>
        <row r="176">
          <cell r="B176" t="str">
            <v>BM174</v>
          </cell>
          <cell r="C176" t="str">
            <v>KA51AH5823</v>
          </cell>
        </row>
        <row r="177">
          <cell r="B177" t="str">
            <v>BM175</v>
          </cell>
          <cell r="C177" t="str">
            <v>KA51AH5718</v>
          </cell>
        </row>
        <row r="178">
          <cell r="B178" t="str">
            <v>BM176</v>
          </cell>
          <cell r="C178" t="str">
            <v>KA51AH5722</v>
          </cell>
        </row>
        <row r="179">
          <cell r="B179" t="str">
            <v>BM177</v>
          </cell>
          <cell r="C179" t="str">
            <v>KA51AH5714</v>
          </cell>
        </row>
        <row r="180">
          <cell r="B180" t="str">
            <v>BM178</v>
          </cell>
          <cell r="C180" t="str">
            <v>KA51AH5824</v>
          </cell>
        </row>
        <row r="181">
          <cell r="B181" t="str">
            <v>BM179</v>
          </cell>
          <cell r="C181" t="str">
            <v>KA51AH5817</v>
          </cell>
        </row>
        <row r="182">
          <cell r="B182" t="str">
            <v>BM180</v>
          </cell>
          <cell r="C182" t="str">
            <v>KA51AH5719</v>
          </cell>
        </row>
        <row r="183">
          <cell r="B183" t="str">
            <v>BM181</v>
          </cell>
          <cell r="C183" t="str">
            <v>KA51AH5816</v>
          </cell>
        </row>
        <row r="184">
          <cell r="B184" t="str">
            <v>BM182</v>
          </cell>
          <cell r="C184" t="str">
            <v>KA51AH5826</v>
          </cell>
        </row>
        <row r="185">
          <cell r="B185" t="str">
            <v>BM183</v>
          </cell>
          <cell r="C185" t="str">
            <v>KA51AH5825</v>
          </cell>
        </row>
        <row r="186">
          <cell r="B186" t="str">
            <v>BM184</v>
          </cell>
          <cell r="C186" t="str">
            <v>KA51AH5819</v>
          </cell>
        </row>
        <row r="187">
          <cell r="B187" t="str">
            <v>BM185</v>
          </cell>
          <cell r="C187" t="str">
            <v>KA51AH5820</v>
          </cell>
        </row>
        <row r="188">
          <cell r="B188" t="str">
            <v>BM186</v>
          </cell>
          <cell r="C188" t="str">
            <v>KA51AH5818</v>
          </cell>
        </row>
        <row r="189">
          <cell r="B189" t="str">
            <v>BM187</v>
          </cell>
          <cell r="C189" t="str">
            <v>KA51AH5822</v>
          </cell>
        </row>
        <row r="190">
          <cell r="B190" t="str">
            <v>BM188</v>
          </cell>
          <cell r="C190" t="str">
            <v>KA51AH5821</v>
          </cell>
        </row>
        <row r="191">
          <cell r="B191" t="str">
            <v>BM189</v>
          </cell>
          <cell r="C191" t="str">
            <v>KA51AH6028</v>
          </cell>
        </row>
        <row r="192">
          <cell r="B192" t="str">
            <v>BM190</v>
          </cell>
          <cell r="C192" t="str">
            <v>KA51AH6033</v>
          </cell>
        </row>
        <row r="193">
          <cell r="B193" t="str">
            <v>BM191</v>
          </cell>
          <cell r="C193" t="str">
            <v>KA51AH6038</v>
          </cell>
        </row>
        <row r="194">
          <cell r="B194" t="str">
            <v>BM192</v>
          </cell>
          <cell r="C194" t="str">
            <v>KA51AH6243</v>
          </cell>
        </row>
        <row r="195">
          <cell r="B195" t="str">
            <v>BM193</v>
          </cell>
          <cell r="C195" t="str">
            <v>KA51AH7660</v>
          </cell>
        </row>
        <row r="196">
          <cell r="B196" t="str">
            <v>BM194</v>
          </cell>
          <cell r="C196" t="str">
            <v>KA51AH6776</v>
          </cell>
        </row>
        <row r="197">
          <cell r="B197" t="str">
            <v>BM195</v>
          </cell>
          <cell r="C197" t="str">
            <v>KA51AH6775</v>
          </cell>
        </row>
        <row r="198">
          <cell r="B198" t="str">
            <v>BM196</v>
          </cell>
          <cell r="C198" t="str">
            <v>KA51AH6783</v>
          </cell>
        </row>
        <row r="199">
          <cell r="B199" t="str">
            <v>BM197</v>
          </cell>
          <cell r="C199" t="str">
            <v>KA51AH7661</v>
          </cell>
        </row>
        <row r="200">
          <cell r="B200" t="str">
            <v>BM198</v>
          </cell>
          <cell r="C200" t="str">
            <v>KA51AH7664</v>
          </cell>
        </row>
        <row r="201">
          <cell r="B201" t="str">
            <v>BM199</v>
          </cell>
          <cell r="C201" t="str">
            <v>KA51AH7662</v>
          </cell>
        </row>
        <row r="202">
          <cell r="B202" t="str">
            <v>BM200</v>
          </cell>
          <cell r="C202" t="str">
            <v>KA51AH7659</v>
          </cell>
        </row>
        <row r="203">
          <cell r="B203" t="str">
            <v>BM201</v>
          </cell>
          <cell r="C203" t="str">
            <v>KA51AH7656</v>
          </cell>
        </row>
        <row r="204">
          <cell r="B204" t="str">
            <v>BM202</v>
          </cell>
          <cell r="C204" t="str">
            <v>KA51AH7658</v>
          </cell>
        </row>
        <row r="205">
          <cell r="B205" t="str">
            <v>BM203</v>
          </cell>
          <cell r="C205" t="str">
            <v>KA51AH7670</v>
          </cell>
        </row>
        <row r="206">
          <cell r="B206" t="str">
            <v>BM204</v>
          </cell>
          <cell r="C206" t="str">
            <v>KA51AH7666</v>
          </cell>
        </row>
        <row r="207">
          <cell r="B207" t="str">
            <v>BM205</v>
          </cell>
          <cell r="C207" t="str">
            <v>KA51AH7673</v>
          </cell>
        </row>
        <row r="208">
          <cell r="B208" t="str">
            <v>BM206</v>
          </cell>
          <cell r="C208" t="str">
            <v>KA51AH7669</v>
          </cell>
        </row>
        <row r="209">
          <cell r="B209" t="str">
            <v>BM207</v>
          </cell>
          <cell r="C209" t="str">
            <v>KA51AH7671</v>
          </cell>
        </row>
        <row r="210">
          <cell r="B210" t="str">
            <v>BM208</v>
          </cell>
          <cell r="C210" t="str">
            <v>KA51AH7775</v>
          </cell>
        </row>
        <row r="211">
          <cell r="B211" t="str">
            <v>BM209</v>
          </cell>
          <cell r="C211" t="str">
            <v>KA51AH7668</v>
          </cell>
        </row>
        <row r="212">
          <cell r="B212" t="str">
            <v>BM210</v>
          </cell>
          <cell r="C212" t="str">
            <v>KA51AH8350</v>
          </cell>
        </row>
        <row r="213">
          <cell r="B213" t="str">
            <v>BM211</v>
          </cell>
          <cell r="C213" t="str">
            <v>KA51AH7778</v>
          </cell>
        </row>
        <row r="214">
          <cell r="B214" t="str">
            <v>BM212</v>
          </cell>
          <cell r="C214" t="str">
            <v>KA51AH7779</v>
          </cell>
        </row>
        <row r="215">
          <cell r="B215" t="str">
            <v>BM213</v>
          </cell>
          <cell r="C215" t="str">
            <v>KA51AH8179</v>
          </cell>
        </row>
        <row r="216">
          <cell r="B216" t="str">
            <v>BM214</v>
          </cell>
          <cell r="C216" t="str">
            <v>KA51AH8348</v>
          </cell>
        </row>
        <row r="217">
          <cell r="B217" t="str">
            <v>BM215</v>
          </cell>
          <cell r="C217" t="str">
            <v>KA51AH8346</v>
          </cell>
        </row>
        <row r="218">
          <cell r="B218" t="str">
            <v>BM216</v>
          </cell>
          <cell r="C218" t="str">
            <v>KA51AH8281</v>
          </cell>
        </row>
        <row r="219">
          <cell r="B219" t="str">
            <v>BM217</v>
          </cell>
          <cell r="C219" t="str">
            <v>KA51AH8284</v>
          </cell>
        </row>
        <row r="220">
          <cell r="B220" t="str">
            <v>BM218</v>
          </cell>
          <cell r="C220" t="str">
            <v>KA51AH8182</v>
          </cell>
        </row>
        <row r="221">
          <cell r="B221" t="str">
            <v>BM219</v>
          </cell>
          <cell r="C221" t="str">
            <v>KA51AH8181</v>
          </cell>
        </row>
        <row r="222">
          <cell r="B222" t="str">
            <v>BM220</v>
          </cell>
          <cell r="C222" t="str">
            <v>KA51AH8180</v>
          </cell>
        </row>
        <row r="223">
          <cell r="B223" t="str">
            <v>BM221</v>
          </cell>
          <cell r="C223" t="str">
            <v>KA51AH8184</v>
          </cell>
        </row>
        <row r="224">
          <cell r="B224" t="str">
            <v>BM222</v>
          </cell>
          <cell r="C224" t="str">
            <v>KA51AH8183</v>
          </cell>
        </row>
        <row r="225">
          <cell r="B225" t="str">
            <v>BM223</v>
          </cell>
          <cell r="C225" t="str">
            <v>KA51AH8283</v>
          </cell>
        </row>
        <row r="226">
          <cell r="B226" t="str">
            <v>BM224</v>
          </cell>
          <cell r="C226" t="str">
            <v>KA51AH8185</v>
          </cell>
        </row>
        <row r="227">
          <cell r="B227" t="str">
            <v>BM225</v>
          </cell>
          <cell r="C227" t="str">
            <v>KA51AH8349</v>
          </cell>
        </row>
        <row r="228">
          <cell r="B228" t="str">
            <v>BM226</v>
          </cell>
          <cell r="C228" t="str">
            <v>KA51AH4535</v>
          </cell>
        </row>
        <row r="229">
          <cell r="B229" t="str">
            <v>BM227</v>
          </cell>
          <cell r="C229" t="str">
            <v>KA51AH4544</v>
          </cell>
        </row>
        <row r="230">
          <cell r="B230" t="str">
            <v>BM228</v>
          </cell>
          <cell r="C230" t="str">
            <v>KA51AH4543</v>
          </cell>
        </row>
        <row r="231">
          <cell r="B231" t="str">
            <v>BM229</v>
          </cell>
          <cell r="C231" t="str">
            <v>KA51AH4539</v>
          </cell>
        </row>
        <row r="232">
          <cell r="B232" t="str">
            <v>BM230</v>
          </cell>
          <cell r="C232" t="str">
            <v>KA51AH4538</v>
          </cell>
        </row>
        <row r="233">
          <cell r="B233" t="str">
            <v>BM231</v>
          </cell>
          <cell r="C233" t="str">
            <v>KA51AH5639</v>
          </cell>
        </row>
        <row r="234">
          <cell r="B234" t="str">
            <v>BM232</v>
          </cell>
          <cell r="C234" t="str">
            <v>KA51AH5645</v>
          </cell>
        </row>
        <row r="235">
          <cell r="B235" t="str">
            <v>BM233</v>
          </cell>
          <cell r="C235" t="str">
            <v>KA51AH5644</v>
          </cell>
        </row>
        <row r="236">
          <cell r="B236" t="str">
            <v>BM234</v>
          </cell>
          <cell r="C236" t="str">
            <v>KA51AH5647</v>
          </cell>
        </row>
        <row r="237">
          <cell r="B237" t="str">
            <v>BM235</v>
          </cell>
          <cell r="C237" t="str">
            <v>KA51AH5646</v>
          </cell>
        </row>
        <row r="238">
          <cell r="B238" t="str">
            <v>BM236</v>
          </cell>
          <cell r="C238" t="str">
            <v>KA51AH4541</v>
          </cell>
        </row>
        <row r="239">
          <cell r="B239" t="str">
            <v>BM237</v>
          </cell>
          <cell r="C239" t="str">
            <v>KA51AH4537</v>
          </cell>
        </row>
        <row r="240">
          <cell r="B240" t="str">
            <v>BM238</v>
          </cell>
          <cell r="C240" t="str">
            <v>KA51AH4540</v>
          </cell>
        </row>
        <row r="241">
          <cell r="B241" t="str">
            <v>BM239</v>
          </cell>
          <cell r="C241" t="str">
            <v>KA51AH4790</v>
          </cell>
        </row>
        <row r="242">
          <cell r="B242" t="str">
            <v>BM240</v>
          </cell>
          <cell r="C242" t="str">
            <v>KA51AH4789</v>
          </cell>
        </row>
        <row r="243">
          <cell r="B243" t="str">
            <v>BM241</v>
          </cell>
          <cell r="C243" t="str">
            <v>KA51AH4645</v>
          </cell>
        </row>
        <row r="244">
          <cell r="B244" t="str">
            <v>BM242</v>
          </cell>
          <cell r="C244" t="str">
            <v>KA51AH4647</v>
          </cell>
        </row>
        <row r="245">
          <cell r="B245" t="str">
            <v>BM243</v>
          </cell>
          <cell r="C245" t="str">
            <v>KA51AH4791</v>
          </cell>
        </row>
        <row r="246">
          <cell r="B246" t="str">
            <v>BM244</v>
          </cell>
          <cell r="C246" t="str">
            <v>KA51AH4649</v>
          </cell>
        </row>
        <row r="247">
          <cell r="B247" t="str">
            <v>BM245</v>
          </cell>
          <cell r="C247" t="str">
            <v>KA51AH4799</v>
          </cell>
        </row>
        <row r="248">
          <cell r="B248" t="str">
            <v>BM246</v>
          </cell>
          <cell r="C248" t="str">
            <v>KA51AH6031</v>
          </cell>
        </row>
        <row r="249">
          <cell r="B249" t="str">
            <v>BM247</v>
          </cell>
          <cell r="C249" t="str">
            <v>KA51AH4644</v>
          </cell>
        </row>
        <row r="250">
          <cell r="B250" t="str">
            <v>BM248</v>
          </cell>
          <cell r="C250" t="str">
            <v>KA51AH4797</v>
          </cell>
        </row>
        <row r="251">
          <cell r="B251" t="str">
            <v>BM249</v>
          </cell>
          <cell r="C251" t="str">
            <v>KA51AH6029</v>
          </cell>
        </row>
        <row r="252">
          <cell r="B252" t="str">
            <v>BM250</v>
          </cell>
          <cell r="C252" t="str">
            <v>KA51AH4801</v>
          </cell>
        </row>
        <row r="253">
          <cell r="B253" t="str">
            <v>BM251</v>
          </cell>
          <cell r="C253" t="str">
            <v>KA51AH4793</v>
          </cell>
        </row>
        <row r="254">
          <cell r="B254" t="str">
            <v>BM252</v>
          </cell>
          <cell r="C254" t="str">
            <v>KA51AH4798</v>
          </cell>
        </row>
        <row r="255">
          <cell r="B255" t="str">
            <v>BM253</v>
          </cell>
          <cell r="C255" t="str">
            <v>KA51AH4987</v>
          </cell>
        </row>
        <row r="256">
          <cell r="B256" t="str">
            <v>BM254</v>
          </cell>
          <cell r="C256" t="str">
            <v>KA51AH4988</v>
          </cell>
        </row>
        <row r="257">
          <cell r="B257" t="str">
            <v>BM255</v>
          </cell>
          <cell r="C257" t="str">
            <v>KA51AH5640</v>
          </cell>
        </row>
        <row r="258">
          <cell r="B258" t="str">
            <v>BM256</v>
          </cell>
          <cell r="C258" t="str">
            <v>KA51AH5641</v>
          </cell>
        </row>
        <row r="259">
          <cell r="B259" t="str">
            <v>BM257</v>
          </cell>
          <cell r="C259" t="str">
            <v>KA51AH5648</v>
          </cell>
        </row>
        <row r="260">
          <cell r="B260" t="str">
            <v>BM258</v>
          </cell>
          <cell r="C260" t="str">
            <v>KA51AH5643</v>
          </cell>
        </row>
        <row r="261">
          <cell r="B261" t="str">
            <v>BM259</v>
          </cell>
          <cell r="C261" t="str">
            <v>KA51AH5642</v>
          </cell>
        </row>
        <row r="262">
          <cell r="B262" t="str">
            <v>BM260</v>
          </cell>
          <cell r="C262" t="str">
            <v>KA51AH6036</v>
          </cell>
        </row>
        <row r="263">
          <cell r="B263" t="str">
            <v>BM261</v>
          </cell>
          <cell r="C263" t="str">
            <v>KA51AH5717</v>
          </cell>
        </row>
        <row r="264">
          <cell r="B264" t="str">
            <v>BM262</v>
          </cell>
          <cell r="C264" t="str">
            <v>KA51AH5720</v>
          </cell>
        </row>
        <row r="265">
          <cell r="B265" t="str">
            <v>BM263</v>
          </cell>
          <cell r="C265" t="str">
            <v>KA51AH5715</v>
          </cell>
        </row>
        <row r="266">
          <cell r="B266" t="str">
            <v>BM264</v>
          </cell>
          <cell r="C266" t="str">
            <v>KA51AH6037</v>
          </cell>
        </row>
        <row r="267">
          <cell r="B267" t="str">
            <v>BM265</v>
          </cell>
          <cell r="C267" t="str">
            <v>KA51AH5723</v>
          </cell>
        </row>
        <row r="268">
          <cell r="B268" t="str">
            <v>BM266</v>
          </cell>
          <cell r="C268" t="str">
            <v>KA51AH6032</v>
          </cell>
        </row>
        <row r="269">
          <cell r="B269" t="str">
            <v>BM267</v>
          </cell>
          <cell r="C269" t="str">
            <v>KA51AH6034</v>
          </cell>
        </row>
        <row r="270">
          <cell r="B270" t="str">
            <v>BM268</v>
          </cell>
          <cell r="C270" t="str">
            <v>KA51AH6035</v>
          </cell>
        </row>
        <row r="271">
          <cell r="B271" t="str">
            <v>BM269</v>
          </cell>
          <cell r="C271" t="str">
            <v>KA51AH6030</v>
          </cell>
        </row>
        <row r="272">
          <cell r="B272" t="str">
            <v>BM270</v>
          </cell>
          <cell r="C272" t="str">
            <v>KA51AH6094</v>
          </cell>
        </row>
        <row r="273">
          <cell r="B273" t="str">
            <v>BM271</v>
          </cell>
          <cell r="C273" t="str">
            <v>KA51AH6095</v>
          </cell>
        </row>
        <row r="274">
          <cell r="B274" t="str">
            <v>BM272</v>
          </cell>
          <cell r="C274" t="str">
            <v>KA51AH6097</v>
          </cell>
        </row>
        <row r="275">
          <cell r="B275" t="str">
            <v>BM273</v>
          </cell>
          <cell r="C275" t="str">
            <v>KA51AH6098</v>
          </cell>
        </row>
        <row r="276">
          <cell r="B276" t="str">
            <v>BM274</v>
          </cell>
          <cell r="C276" t="str">
            <v>KA51AH6099</v>
          </cell>
        </row>
        <row r="277">
          <cell r="B277" t="str">
            <v>BM275</v>
          </cell>
          <cell r="C277" t="str">
            <v>KA51AH6096</v>
          </cell>
        </row>
        <row r="278">
          <cell r="B278" t="str">
            <v>BM276</v>
          </cell>
          <cell r="C278" t="str">
            <v>KA51AH6250</v>
          </cell>
        </row>
        <row r="279">
          <cell r="B279" t="str">
            <v>BM277</v>
          </cell>
          <cell r="C279" t="str">
            <v>KA51AH6245</v>
          </cell>
        </row>
        <row r="280">
          <cell r="B280" t="str">
            <v>BM278</v>
          </cell>
          <cell r="C280" t="str">
            <v>KA51AH6246</v>
          </cell>
        </row>
        <row r="281">
          <cell r="B281" t="str">
            <v>BM279</v>
          </cell>
          <cell r="C281" t="str">
            <v>KA51AH6244</v>
          </cell>
        </row>
        <row r="282">
          <cell r="B282" t="str">
            <v>BM280</v>
          </cell>
          <cell r="C282" t="str">
            <v>KA51AH6247</v>
          </cell>
        </row>
        <row r="283">
          <cell r="B283" t="str">
            <v>BM281</v>
          </cell>
          <cell r="C283" t="str">
            <v>KA51AH6251</v>
          </cell>
        </row>
        <row r="284">
          <cell r="B284" t="str">
            <v>BM282</v>
          </cell>
          <cell r="C284" t="str">
            <v>KA51AH7667</v>
          </cell>
        </row>
        <row r="285">
          <cell r="B285" t="str">
            <v>BM283</v>
          </cell>
          <cell r="C285" t="str">
            <v>KA51AH6249</v>
          </cell>
        </row>
        <row r="286">
          <cell r="B286" t="str">
            <v>BM284</v>
          </cell>
          <cell r="C286" t="str">
            <v>KA51AH6248</v>
          </cell>
        </row>
        <row r="287">
          <cell r="B287" t="str">
            <v>BM285</v>
          </cell>
          <cell r="C287" t="str">
            <v>KA51AH6252</v>
          </cell>
        </row>
        <row r="288">
          <cell r="B288" t="str">
            <v>BM286</v>
          </cell>
          <cell r="C288" t="str">
            <v>KA51AH6469</v>
          </cell>
        </row>
        <row r="289">
          <cell r="B289" t="str">
            <v>BM287</v>
          </cell>
          <cell r="C289" t="str">
            <v>KA51AH7657</v>
          </cell>
        </row>
        <row r="290">
          <cell r="B290" t="str">
            <v>BM288</v>
          </cell>
          <cell r="C290" t="str">
            <v>KA51AH7672</v>
          </cell>
        </row>
        <row r="291">
          <cell r="B291" t="str">
            <v>BM289</v>
          </cell>
          <cell r="C291" t="str">
            <v>KA51AH6471</v>
          </cell>
        </row>
        <row r="292">
          <cell r="B292" t="str">
            <v>BM290</v>
          </cell>
          <cell r="C292" t="str">
            <v>KA51AH6467</v>
          </cell>
        </row>
        <row r="293">
          <cell r="B293" t="str">
            <v>BM291</v>
          </cell>
          <cell r="C293" t="str">
            <v>KA51AH6466</v>
          </cell>
        </row>
        <row r="294">
          <cell r="B294" t="str">
            <v>BM292</v>
          </cell>
          <cell r="C294" t="str">
            <v>KA51AH6468</v>
          </cell>
        </row>
        <row r="295">
          <cell r="B295" t="str">
            <v>BM293</v>
          </cell>
          <cell r="C295" t="str">
            <v>KA51AH6470</v>
          </cell>
        </row>
        <row r="296">
          <cell r="B296" t="str">
            <v>BM294</v>
          </cell>
          <cell r="C296" t="str">
            <v>KA51AH6777</v>
          </cell>
        </row>
        <row r="297">
          <cell r="B297" t="str">
            <v>BM295</v>
          </cell>
          <cell r="C297" t="str">
            <v>KA51AH6780</v>
          </cell>
        </row>
        <row r="298">
          <cell r="B298" t="str">
            <v>BM296</v>
          </cell>
          <cell r="C298" t="str">
            <v>KA51AH6779</v>
          </cell>
        </row>
        <row r="299">
          <cell r="B299" t="str">
            <v>BM297</v>
          </cell>
          <cell r="C299" t="str">
            <v>KA51AH6472</v>
          </cell>
        </row>
        <row r="300">
          <cell r="B300" t="str">
            <v>BM298</v>
          </cell>
          <cell r="C300" t="str">
            <v>KA51AH6778</v>
          </cell>
        </row>
        <row r="301">
          <cell r="B301" t="str">
            <v>BM299</v>
          </cell>
          <cell r="C301" t="str">
            <v>KA51AH7663</v>
          </cell>
        </row>
        <row r="302">
          <cell r="B302" t="str">
            <v>BM300</v>
          </cell>
          <cell r="C302" t="str">
            <v>KA51AH6782</v>
          </cell>
        </row>
        <row r="303">
          <cell r="B303" t="str">
            <v>BM303</v>
          </cell>
          <cell r="C303" t="str">
            <v>KA51AJ0138</v>
          </cell>
        </row>
        <row r="304">
          <cell r="B304" t="str">
            <v>BM304</v>
          </cell>
          <cell r="C304" t="str">
            <v>KA51AJ0137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view="pageBreakPreview" topLeftCell="A61" zoomScaleNormal="100" zoomScaleSheetLayoutView="100" workbookViewId="0">
      <selection activeCell="G86" sqref="G86"/>
    </sheetView>
  </sheetViews>
  <sheetFormatPr defaultColWidth="9.125" defaultRowHeight="15.75" x14ac:dyDescent="0.25"/>
  <cols>
    <col min="1" max="1" width="7" style="18" customWidth="1"/>
    <col min="2" max="2" width="8.75" style="18" customWidth="1"/>
    <col min="3" max="3" width="7.25" style="18" customWidth="1"/>
    <col min="4" max="4" width="12.875" style="18" customWidth="1"/>
    <col min="5" max="5" width="9.5" style="18" customWidth="1"/>
    <col min="6" max="6" width="8" style="18" customWidth="1"/>
    <col min="7" max="7" width="14.125" style="18" customWidth="1"/>
    <col min="8" max="8" width="9" style="19" customWidth="1"/>
    <col min="9" max="9" width="9.875" style="18" customWidth="1"/>
    <col min="10" max="10" width="9.125" style="18"/>
    <col min="11" max="11" width="1.875" style="18" customWidth="1"/>
    <col min="12" max="16384" width="9.125" style="18"/>
  </cols>
  <sheetData>
    <row r="1" spans="1:11" ht="13.5" x14ac:dyDescent="0.15">
      <c r="A1" s="40"/>
      <c r="B1" s="40"/>
      <c r="C1" s="40"/>
      <c r="D1" s="40"/>
      <c r="E1" s="40"/>
      <c r="F1" s="40"/>
      <c r="G1" s="40"/>
      <c r="H1" s="40"/>
      <c r="I1" s="40"/>
    </row>
    <row r="2" spans="1:11" ht="13.5" x14ac:dyDescent="0.15">
      <c r="A2" s="40"/>
      <c r="B2" s="40"/>
      <c r="C2" s="40"/>
      <c r="D2" s="40"/>
      <c r="E2" s="40"/>
      <c r="F2" s="40"/>
      <c r="G2" s="40"/>
      <c r="H2" s="40"/>
      <c r="I2" s="40"/>
    </row>
    <row r="3" spans="1:1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34" t="s">
        <v>5</v>
      </c>
      <c r="G3" s="1" t="s">
        <v>6</v>
      </c>
      <c r="H3" s="1" t="s">
        <v>7</v>
      </c>
      <c r="I3" s="1" t="s">
        <v>8</v>
      </c>
    </row>
    <row r="4" spans="1:11" x14ac:dyDescent="0.15">
      <c r="A4" s="2">
        <v>1</v>
      </c>
      <c r="B4" s="7" t="s">
        <v>9</v>
      </c>
      <c r="C4" s="21" t="s">
        <v>10</v>
      </c>
      <c r="D4" s="21" t="str">
        <f>_xlfn.XLOOKUP($C4,VEH.NO!$B$2:$B$123,VEH.NO!$C$2:$C$123,"",0,1)</f>
        <v>KA51AH4797</v>
      </c>
      <c r="E4" s="22"/>
      <c r="F4" s="35" t="s">
        <v>10</v>
      </c>
      <c r="G4" s="37" t="str">
        <f>IFERROR(VLOOKUP(F4,'[1]VH NO WISE'!$B$2:$C$123,2,0),"")</f>
        <v>KA51AH4797</v>
      </c>
      <c r="H4" s="23">
        <v>0.52083333333333304</v>
      </c>
      <c r="I4" s="24">
        <v>0.44444444444444398</v>
      </c>
    </row>
    <row r="5" spans="1:11" x14ac:dyDescent="0.15">
      <c r="A5" s="2">
        <f>A4+1</f>
        <v>2</v>
      </c>
      <c r="B5" s="7" t="s">
        <v>11</v>
      </c>
      <c r="C5" s="21" t="s">
        <v>12</v>
      </c>
      <c r="D5" s="21" t="str">
        <f>_xlfn.XLOOKUP($C5,VEH.NO!$B$2:$B$123,VEH.NO!$C$2:$C$123,"",0,1)</f>
        <v>KA51AH6246</v>
      </c>
      <c r="E5" s="21"/>
      <c r="F5" s="35" t="s">
        <v>67</v>
      </c>
      <c r="G5" s="37" t="str">
        <f>IFERROR(VLOOKUP(F5,'[1]VH NO WISE'!$B$2:$C$123,2,0),"")</f>
        <v>KA51AH6249</v>
      </c>
      <c r="H5" s="23">
        <v>0.52777777777777801</v>
      </c>
      <c r="I5" s="24">
        <v>0.45486111111111099</v>
      </c>
    </row>
    <row r="6" spans="1:11" x14ac:dyDescent="0.15">
      <c r="A6" s="2">
        <f t="shared" ref="A6:A37" si="0">A5+1</f>
        <v>3</v>
      </c>
      <c r="B6" s="7" t="s">
        <v>13</v>
      </c>
      <c r="C6" s="21" t="s">
        <v>14</v>
      </c>
      <c r="D6" s="21" t="str">
        <f>_xlfn.XLOOKUP($C6,VEH.NO!$B$2:$B$123,VEH.NO!$C$2:$C$123,"",0,1)</f>
        <v>KA51AH7659</v>
      </c>
      <c r="E6" s="21"/>
      <c r="F6" s="35" t="s">
        <v>14</v>
      </c>
      <c r="G6" s="37" t="str">
        <f>IFERROR(VLOOKUP(F6,'[1]VH NO WISE'!$B$2:$C$123,2,0),"")</f>
        <v>KA51AH7659</v>
      </c>
      <c r="H6" s="23">
        <v>0.53472222222222199</v>
      </c>
      <c r="I6" s="24">
        <v>0.46180555555555602</v>
      </c>
    </row>
    <row r="7" spans="1:11" x14ac:dyDescent="0.15">
      <c r="A7" s="2">
        <f t="shared" si="0"/>
        <v>4</v>
      </c>
      <c r="B7" s="7" t="s">
        <v>15</v>
      </c>
      <c r="C7" s="21" t="s">
        <v>16</v>
      </c>
      <c r="D7" s="21" t="str">
        <f>_xlfn.XLOOKUP($C7,VEH.NO!$B$2:$B$123,VEH.NO!$C$2:$C$123,"",0,1)</f>
        <v>KA51AH7656</v>
      </c>
      <c r="E7" s="22"/>
      <c r="F7" s="35" t="s">
        <v>38</v>
      </c>
      <c r="G7" s="37" t="str">
        <f>IFERROR(VLOOKUP(F7,'[1]VH NO WISE'!$B$2:$C$123,2,0),"")</f>
        <v>KA51AH8346</v>
      </c>
      <c r="H7" s="23">
        <v>0.54166666666666696</v>
      </c>
      <c r="I7" s="24">
        <v>0.46875</v>
      </c>
    </row>
    <row r="8" spans="1:11" x14ac:dyDescent="0.15">
      <c r="A8" s="2">
        <f t="shared" si="0"/>
        <v>5</v>
      </c>
      <c r="B8" s="7" t="s">
        <v>17</v>
      </c>
      <c r="C8" s="25" t="s">
        <v>18</v>
      </c>
      <c r="D8" s="21" t="str">
        <f>_xlfn.XLOOKUP($C8,VEH.NO!$B$2:$B$123,VEH.NO!$C$2:$C$123,"",0,1)</f>
        <v>KA51AH6777</v>
      </c>
      <c r="E8" s="20"/>
      <c r="F8" s="30" t="s">
        <v>18</v>
      </c>
      <c r="G8" s="37" t="str">
        <f>IFERROR(VLOOKUP(F8,'[1]VH NO WISE'!$B$2:$C$123,2,0),"")</f>
        <v>KA51AH6777</v>
      </c>
      <c r="H8" s="23">
        <v>0.54166666666666696</v>
      </c>
      <c r="I8" s="24">
        <v>0.44791666666666702</v>
      </c>
    </row>
    <row r="9" spans="1:11" x14ac:dyDescent="0.15">
      <c r="A9" s="2">
        <f t="shared" si="0"/>
        <v>6</v>
      </c>
      <c r="B9" s="7" t="s">
        <v>20</v>
      </c>
      <c r="C9" s="21" t="s">
        <v>21</v>
      </c>
      <c r="D9" s="21" t="str">
        <f>_xlfn.XLOOKUP($C9,VEH.NO!$B$2:$B$123,VEH.NO!$C$2:$C$123,"",0,1)</f>
        <v>KA51AH7663</v>
      </c>
      <c r="E9" s="22"/>
      <c r="F9" s="35" t="s">
        <v>21</v>
      </c>
      <c r="G9" s="37" t="str">
        <f>IFERROR(VLOOKUP(F9,'[1]VH NO WISE'!$B$2:$C$123,2,0),"")</f>
        <v>KA51AH7663</v>
      </c>
      <c r="H9" s="23">
        <v>0.54861111111111105</v>
      </c>
      <c r="I9" s="24">
        <v>0.48611111111111099</v>
      </c>
    </row>
    <row r="10" spans="1:11" x14ac:dyDescent="0.15">
      <c r="A10" s="2">
        <f t="shared" si="0"/>
        <v>7</v>
      </c>
      <c r="B10" s="7" t="s">
        <v>22</v>
      </c>
      <c r="C10" s="21" t="s">
        <v>23</v>
      </c>
      <c r="D10" s="21" t="str">
        <f>_xlfn.XLOOKUP($C10,VEH.NO!$B$2:$B$123,VEH.NO!$C$2:$C$123,"",0,1)</f>
        <v>KA51AH8283</v>
      </c>
      <c r="E10" s="2"/>
      <c r="F10" s="30" t="s">
        <v>23</v>
      </c>
      <c r="G10" s="37" t="str">
        <f>IFERROR(VLOOKUP(F10,'[1]VH NO WISE'!$B$2:$C$123,2,0),"")</f>
        <v>KA51AH8283</v>
      </c>
      <c r="H10" s="23">
        <v>0.54861111111111105</v>
      </c>
      <c r="I10" s="24">
        <v>0.47569444444444398</v>
      </c>
      <c r="K10" s="18" t="s">
        <v>24</v>
      </c>
    </row>
    <row r="11" spans="1:11" x14ac:dyDescent="0.15">
      <c r="A11" s="2">
        <f t="shared" si="0"/>
        <v>8</v>
      </c>
      <c r="B11" s="7" t="s">
        <v>25</v>
      </c>
      <c r="C11" s="25" t="s">
        <v>26</v>
      </c>
      <c r="D11" s="21" t="str">
        <f>_xlfn.XLOOKUP($C11,VEH.NO!$B$2:$B$123,VEH.NO!$C$2:$C$123,"",0,1)</f>
        <v>KA51AH4643</v>
      </c>
      <c r="E11" s="2"/>
      <c r="F11" s="30" t="s">
        <v>140</v>
      </c>
      <c r="G11" s="37" t="str">
        <f>IFERROR(VLOOKUP(F11,'[1]VH NO WISE'!$B$2:$C$123,2,0),"")</f>
        <v>KA51AH2619</v>
      </c>
      <c r="H11" s="23">
        <v>0.54861111111111105</v>
      </c>
      <c r="I11" s="24">
        <v>0.4375</v>
      </c>
    </row>
    <row r="12" spans="1:11" x14ac:dyDescent="0.15">
      <c r="A12" s="2">
        <f t="shared" si="0"/>
        <v>9</v>
      </c>
      <c r="B12" s="7" t="s">
        <v>27</v>
      </c>
      <c r="C12" s="21" t="s">
        <v>28</v>
      </c>
      <c r="D12" s="21" t="str">
        <f>_xlfn.XLOOKUP($C12,VEH.NO!$B$2:$B$123,VEH.NO!$C$2:$C$123,"",0,1)</f>
        <v>KA51AH6251</v>
      </c>
      <c r="E12" s="22"/>
      <c r="F12" s="35" t="s">
        <v>28</v>
      </c>
      <c r="G12" s="37" t="str">
        <f>IFERROR(VLOOKUP(F12,'[1]VH NO WISE'!$B$2:$C$123,2,0),"")</f>
        <v>KA51AH6251</v>
      </c>
      <c r="H12" s="23">
        <v>0.55208333333333304</v>
      </c>
      <c r="I12" s="24">
        <v>0.48958333333333298</v>
      </c>
    </row>
    <row r="13" spans="1:11" x14ac:dyDescent="0.15">
      <c r="A13" s="2">
        <f t="shared" si="0"/>
        <v>10</v>
      </c>
      <c r="B13" s="7" t="s">
        <v>29</v>
      </c>
      <c r="C13" s="21" t="s">
        <v>30</v>
      </c>
      <c r="D13" s="21" t="str">
        <f>_xlfn.XLOOKUP($C13,VEH.NO!$B$2:$B$123,VEH.NO!$C$2:$C$123,"",0,1)</f>
        <v>KA51AH8281</v>
      </c>
      <c r="E13" s="21"/>
      <c r="F13" s="30" t="s">
        <v>149</v>
      </c>
      <c r="G13" s="37" t="str">
        <f>IFERROR(VLOOKUP(F13,'[1]VH NO WISE'!$B$2:$C$123,2,0),"")</f>
        <v>KA51AH3127</v>
      </c>
      <c r="H13" s="23">
        <v>0.55208333333333304</v>
      </c>
      <c r="I13" s="24">
        <v>0.46527777777777801</v>
      </c>
    </row>
    <row r="14" spans="1:11" x14ac:dyDescent="0.15">
      <c r="A14" s="2">
        <f t="shared" si="0"/>
        <v>11</v>
      </c>
      <c r="B14" s="7" t="s">
        <v>32</v>
      </c>
      <c r="C14" s="21" t="s">
        <v>33</v>
      </c>
      <c r="D14" s="21" t="str">
        <f>_xlfn.XLOOKUP($C14,VEH.NO!$B$2:$B$123,VEH.NO!$C$2:$C$123,"",0,1)</f>
        <v>KA51AH5825</v>
      </c>
      <c r="E14" s="20"/>
      <c r="F14" s="35" t="s">
        <v>35</v>
      </c>
      <c r="G14" s="37" t="str">
        <f>IFERROR(VLOOKUP(F14,'[1]VH NO WISE'!$B$2:$C$123,2,0),"")</f>
        <v>KA51AH3266</v>
      </c>
      <c r="H14" s="23">
        <v>0.55555555555555602</v>
      </c>
      <c r="I14" s="24">
        <v>0.44444444444444398</v>
      </c>
    </row>
    <row r="15" spans="1:11" x14ac:dyDescent="0.15">
      <c r="A15" s="2">
        <f t="shared" si="0"/>
        <v>12</v>
      </c>
      <c r="B15" s="7" t="s">
        <v>34</v>
      </c>
      <c r="C15" s="21" t="s">
        <v>35</v>
      </c>
      <c r="D15" s="21" t="str">
        <f>_xlfn.XLOOKUP($C15,VEH.NO!$B$2:$B$123,VEH.NO!$C$2:$C$123,"",0,1)</f>
        <v>KA51AH3266</v>
      </c>
      <c r="E15" s="22"/>
      <c r="F15" s="35" t="s">
        <v>87</v>
      </c>
      <c r="G15" s="37" t="str">
        <f>IFERROR(VLOOKUP(F15,'[1]VH NO WISE'!$B$2:$C$123,2,0),"")</f>
        <v>KA51AH2956</v>
      </c>
      <c r="H15" s="23">
        <v>0.55555555555555602</v>
      </c>
      <c r="I15" s="24">
        <v>0.47569444444444398</v>
      </c>
    </row>
    <row r="16" spans="1:11" x14ac:dyDescent="0.15">
      <c r="A16" s="2">
        <f t="shared" si="0"/>
        <v>13</v>
      </c>
      <c r="B16" s="7" t="s">
        <v>37</v>
      </c>
      <c r="C16" s="21" t="s">
        <v>38</v>
      </c>
      <c r="D16" s="21" t="str">
        <f>_xlfn.XLOOKUP($C16,VEH.NO!$B$2:$B$123,VEH.NO!$C$2:$C$123,"",0,1)</f>
        <v>KA51AH8346</v>
      </c>
      <c r="E16" s="2"/>
      <c r="F16" s="30"/>
      <c r="G16" s="37" t="str">
        <f>IFERROR(VLOOKUP(F16,'[1]VH NO WISE'!$B$2:$C$123,2,0),"")</f>
        <v/>
      </c>
      <c r="H16" s="23">
        <v>0.55902777777777801</v>
      </c>
      <c r="I16" s="24">
        <v>0.49652777777777801</v>
      </c>
    </row>
    <row r="17" spans="1:9" x14ac:dyDescent="0.15">
      <c r="A17" s="2">
        <f t="shared" si="0"/>
        <v>14</v>
      </c>
      <c r="B17" s="7" t="s">
        <v>39</v>
      </c>
      <c r="C17" s="21" t="s">
        <v>40</v>
      </c>
      <c r="D17" s="21" t="str">
        <f>_xlfn.XLOOKUP($C17,VEH.NO!$B$2:$B$123,VEH.NO!$C$2:$C$123,"",0,1)</f>
        <v>KA51AH2951</v>
      </c>
      <c r="E17" s="21"/>
      <c r="F17" s="30" t="s">
        <v>40</v>
      </c>
      <c r="G17" s="37" t="str">
        <f>IFERROR(VLOOKUP(F17,'[1]VH NO WISE'!$B$2:$C$123,2,0),"")</f>
        <v>KA51AH2951</v>
      </c>
      <c r="H17" s="23">
        <v>0.5625</v>
      </c>
      <c r="I17" s="24">
        <v>0.5</v>
      </c>
    </row>
    <row r="18" spans="1:9" x14ac:dyDescent="0.15">
      <c r="A18" s="2">
        <f t="shared" si="0"/>
        <v>15</v>
      </c>
      <c r="B18" s="7" t="s">
        <v>41</v>
      </c>
      <c r="C18" s="25" t="s">
        <v>42</v>
      </c>
      <c r="D18" s="21" t="str">
        <f>_xlfn.XLOOKUP($C18,VEH.NO!$B$2:$B$123,VEH.NO!$C$2:$C$123,"",0,1)</f>
        <v>KA51AH7671</v>
      </c>
      <c r="E18" s="2"/>
      <c r="F18" s="30" t="s">
        <v>42</v>
      </c>
      <c r="G18" s="37" t="str">
        <f>IFERROR(VLOOKUP(F18,'[1]VH NO WISE'!$B$2:$C$123,2,0),"")</f>
        <v>KA51AH7671</v>
      </c>
      <c r="H18" s="23">
        <v>0.5625</v>
      </c>
      <c r="I18" s="24">
        <v>0.45138888888888901</v>
      </c>
    </row>
    <row r="19" spans="1:9" x14ac:dyDescent="0.15">
      <c r="A19" s="2">
        <f t="shared" si="0"/>
        <v>16</v>
      </c>
      <c r="B19" s="7" t="s">
        <v>43</v>
      </c>
      <c r="C19" s="25" t="s">
        <v>44</v>
      </c>
      <c r="D19" s="21" t="str">
        <f>_xlfn.XLOOKUP($C19,VEH.NO!$B$2:$B$123,VEH.NO!$C$2:$C$123,"",0,1)</f>
        <v>KA51AH5640</v>
      </c>
      <c r="E19" s="2"/>
      <c r="F19" s="35" t="s">
        <v>44</v>
      </c>
      <c r="G19" s="37" t="str">
        <f>IFERROR(VLOOKUP(F19,'[1]VH NO WISE'!$B$2:$C$123,2,0),"")</f>
        <v>KA51AH5640</v>
      </c>
      <c r="H19" s="23">
        <v>0.56597222222222199</v>
      </c>
      <c r="I19" s="24">
        <v>0.50347222222222199</v>
      </c>
    </row>
    <row r="20" spans="1:9" x14ac:dyDescent="0.15">
      <c r="A20" s="2">
        <f t="shared" si="0"/>
        <v>17</v>
      </c>
      <c r="B20" s="7" t="s">
        <v>45</v>
      </c>
      <c r="C20" s="25" t="s">
        <v>46</v>
      </c>
      <c r="D20" s="21" t="str">
        <f>_xlfn.XLOOKUP($C20,VEH.NO!$B$2:$B$123,VEH.NO!$C$2:$C$123,"",0,1)</f>
        <v>KA51AH3125</v>
      </c>
      <c r="E20" s="22"/>
      <c r="F20" s="30" t="s">
        <v>207</v>
      </c>
      <c r="G20" s="37" t="str">
        <f>IFERROR(VLOOKUP(F20,'[1]VH NO WISE'!$B$2:$C$123,2,0),"")</f>
        <v>KA51AH3129</v>
      </c>
      <c r="H20" s="23">
        <v>0.56597222222222199</v>
      </c>
      <c r="I20" s="24">
        <v>0.44097222222222199</v>
      </c>
    </row>
    <row r="21" spans="1:9" x14ac:dyDescent="0.15">
      <c r="A21" s="2">
        <f t="shared" si="0"/>
        <v>18</v>
      </c>
      <c r="B21" s="7" t="s">
        <v>47</v>
      </c>
      <c r="C21" s="25" t="s">
        <v>48</v>
      </c>
      <c r="D21" s="21" t="str">
        <f>_xlfn.XLOOKUP($C21,VEH.NO!$B$2:$B$123,VEH.NO!$C$2:$C$123,"",0,1)</f>
        <v>KA51AH6098</v>
      </c>
      <c r="E21" s="21"/>
      <c r="F21" s="35" t="s">
        <v>48</v>
      </c>
      <c r="G21" s="37" t="str">
        <f>IFERROR(VLOOKUP(F21,'[1]VH NO WISE'!$B$2:$C$123,2,0),"")</f>
        <v>KA51AH6098</v>
      </c>
      <c r="H21" s="23">
        <v>0.57291666666666696</v>
      </c>
      <c r="I21" s="24">
        <v>0.51041666666666696</v>
      </c>
    </row>
    <row r="22" spans="1:9" x14ac:dyDescent="0.15">
      <c r="A22" s="2">
        <f t="shared" si="0"/>
        <v>19</v>
      </c>
      <c r="B22" s="7" t="s">
        <v>49</v>
      </c>
      <c r="C22" s="25" t="s">
        <v>50</v>
      </c>
      <c r="D22" s="21" t="str">
        <f>_xlfn.XLOOKUP($C22,VEH.NO!$B$2:$B$123,VEH.NO!$C$2:$C$123,"",0,1)</f>
        <v>KA51AH6035</v>
      </c>
      <c r="E22" s="21"/>
      <c r="F22" s="35" t="s">
        <v>50</v>
      </c>
      <c r="G22" s="37" t="str">
        <f>IFERROR(VLOOKUP(F22,'[1]VH NO WISE'!$B$2:$C$123,2,0),"")</f>
        <v>KA51AH6035</v>
      </c>
      <c r="H22" s="23">
        <v>0.57291666666666696</v>
      </c>
      <c r="I22" s="24">
        <v>0.44791666666666702</v>
      </c>
    </row>
    <row r="23" spans="1:9" x14ac:dyDescent="0.15">
      <c r="A23" s="2">
        <f t="shared" si="0"/>
        <v>20</v>
      </c>
      <c r="B23" s="7" t="s">
        <v>51</v>
      </c>
      <c r="C23" s="21" t="s">
        <v>52</v>
      </c>
      <c r="D23" s="21" t="str">
        <f>_xlfn.XLOOKUP($C23,VEH.NO!$B$2:$B$123,VEH.NO!$C$2:$C$123,"",0,1)</f>
        <v>KA51AH6252</v>
      </c>
      <c r="E23" s="21"/>
      <c r="F23" s="35" t="s">
        <v>52</v>
      </c>
      <c r="G23" s="37" t="str">
        <f>IFERROR(VLOOKUP(F23,'[1]VH NO WISE'!$B$2:$C$123,2,0),"")</f>
        <v>KA51AH6252</v>
      </c>
      <c r="H23" s="23">
        <v>0.57291666666666696</v>
      </c>
      <c r="I23" s="24">
        <v>0.48958333333333298</v>
      </c>
    </row>
    <row r="24" spans="1:9" x14ac:dyDescent="0.15">
      <c r="A24" s="2">
        <f t="shared" si="0"/>
        <v>21</v>
      </c>
      <c r="B24" s="7" t="s">
        <v>53</v>
      </c>
      <c r="C24" s="21" t="s">
        <v>54</v>
      </c>
      <c r="D24" s="21" t="str">
        <f>_xlfn.XLOOKUP($C24,VEH.NO!$B$2:$B$123,VEH.NO!$C$2:$C$123,"",0,1)</f>
        <v>KA51AH3131</v>
      </c>
      <c r="E24" s="21"/>
      <c r="F24" s="35" t="s">
        <v>54</v>
      </c>
      <c r="G24" s="37" t="str">
        <f>IFERROR(VLOOKUP(F24,'[1]VH NO WISE'!$B$2:$C$123,2,0),"")</f>
        <v>KA51AH3131</v>
      </c>
      <c r="H24" s="23">
        <v>0.57638888888888895</v>
      </c>
      <c r="I24" s="24">
        <v>0.48611111111111099</v>
      </c>
    </row>
    <row r="25" spans="1:9" x14ac:dyDescent="0.15">
      <c r="A25" s="2">
        <f t="shared" si="0"/>
        <v>22</v>
      </c>
      <c r="B25" s="7" t="s">
        <v>55</v>
      </c>
      <c r="C25" s="21" t="s">
        <v>56</v>
      </c>
      <c r="D25" s="21" t="str">
        <f>_xlfn.XLOOKUP($C25,VEH.NO!$B$2:$B$123,VEH.NO!$C$2:$C$123,"",0,1)</f>
        <v>KA51AH8185</v>
      </c>
      <c r="E25" s="21"/>
      <c r="F25" s="30" t="s">
        <v>56</v>
      </c>
      <c r="G25" s="37" t="str">
        <f>IFERROR(VLOOKUP(F25,'[1]VH NO WISE'!$B$2:$C$123,2,0),"")</f>
        <v>KA51AH8185</v>
      </c>
      <c r="H25" s="23">
        <v>0.57638888888888895</v>
      </c>
      <c r="I25" s="24">
        <v>0.46527777777777801</v>
      </c>
    </row>
    <row r="26" spans="1:9" x14ac:dyDescent="0.15">
      <c r="A26" s="2">
        <f t="shared" si="0"/>
        <v>23</v>
      </c>
      <c r="B26" s="7" t="s">
        <v>57</v>
      </c>
      <c r="C26" s="21" t="s">
        <v>58</v>
      </c>
      <c r="D26" s="21" t="str">
        <f>_xlfn.XLOOKUP($C26,VEH.NO!$B$2:$B$123,VEH.NO!$C$2:$C$123,"",0,1)</f>
        <v>KA51AH6471</v>
      </c>
      <c r="E26" s="21"/>
      <c r="F26" s="35" t="s">
        <v>58</v>
      </c>
      <c r="G26" s="37" t="str">
        <f>IFERROR(VLOOKUP(F26,'[1]VH NO WISE'!$B$2:$C$123,2,0),"")</f>
        <v>KA51AH6471</v>
      </c>
      <c r="H26" s="23">
        <v>0.57638888888888895</v>
      </c>
      <c r="I26" s="24">
        <v>0.51388888888888895</v>
      </c>
    </row>
    <row r="27" spans="1:9" x14ac:dyDescent="0.25">
      <c r="A27" s="2">
        <f t="shared" si="0"/>
        <v>24</v>
      </c>
      <c r="B27" s="7" t="s">
        <v>59</v>
      </c>
      <c r="C27" s="26" t="s">
        <v>60</v>
      </c>
      <c r="D27" s="21" t="str">
        <f>_xlfn.XLOOKUP($C27,VEH.NO!$B$2:$B$123,VEH.NO!$C$2:$C$123,"",0,1)</f>
        <v>KA51AH6099</v>
      </c>
      <c r="E27" s="21"/>
      <c r="F27" s="35" t="s">
        <v>60</v>
      </c>
      <c r="G27" s="37" t="str">
        <f>IFERROR(VLOOKUP(F27,'[1]VH NO WISE'!$B$2:$C$123,2,0),"")</f>
        <v>KA51AH6099</v>
      </c>
      <c r="H27" s="23">
        <v>0.57986111111111105</v>
      </c>
      <c r="I27" s="24">
        <v>0.51736111111111105</v>
      </c>
    </row>
    <row r="28" spans="1:9" x14ac:dyDescent="0.15">
      <c r="A28" s="2">
        <f t="shared" si="0"/>
        <v>25</v>
      </c>
      <c r="B28" s="7" t="s">
        <v>61</v>
      </c>
      <c r="C28" s="21" t="s">
        <v>62</v>
      </c>
      <c r="D28" s="21" t="str">
        <f>_xlfn.XLOOKUP($C28,VEH.NO!$B$2:$B$123,VEH.NO!$C$2:$C$123,"",0,1)</f>
        <v>KA51AH5642</v>
      </c>
      <c r="E28" s="21"/>
      <c r="F28" s="35" t="s">
        <v>62</v>
      </c>
      <c r="G28" s="37" t="str">
        <f>IFERROR(VLOOKUP(F28,'[1]VH NO WISE'!$B$2:$C$123,2,0),"")</f>
        <v>KA51AH5642</v>
      </c>
      <c r="H28" s="23">
        <v>0.57986111111111105</v>
      </c>
      <c r="I28" s="24">
        <v>0.45486111111111099</v>
      </c>
    </row>
    <row r="29" spans="1:9" x14ac:dyDescent="0.15">
      <c r="A29" s="2">
        <f t="shared" si="0"/>
        <v>26</v>
      </c>
      <c r="B29" s="7" t="s">
        <v>63</v>
      </c>
      <c r="C29" s="21" t="s">
        <v>64</v>
      </c>
      <c r="D29" s="21" t="str">
        <f>_xlfn.XLOOKUP($C29,VEH.NO!$B$2:$B$123,VEH.NO!$C$2:$C$123,"",0,1)</f>
        <v>KA51AH7667</v>
      </c>
      <c r="E29" s="21"/>
      <c r="F29" s="35" t="s">
        <v>30</v>
      </c>
      <c r="G29" s="37" t="str">
        <f>IFERROR(VLOOKUP(F29,'[1]VH NO WISE'!$B$2:$C$123,2,0),"")</f>
        <v>KA51AH8281</v>
      </c>
      <c r="H29" s="23">
        <v>0.58333333333333304</v>
      </c>
      <c r="I29" s="24">
        <v>0.51736111111111105</v>
      </c>
    </row>
    <row r="30" spans="1:9" x14ac:dyDescent="0.15">
      <c r="A30" s="2">
        <f t="shared" si="0"/>
        <v>27</v>
      </c>
      <c r="B30" s="7" t="s">
        <v>66</v>
      </c>
      <c r="C30" s="21" t="s">
        <v>67</v>
      </c>
      <c r="D30" s="21" t="str">
        <f>_xlfn.XLOOKUP($C30,VEH.NO!$B$2:$B$123,VEH.NO!$C$2:$C$123,"",0,1)</f>
        <v>KA51AH6249</v>
      </c>
      <c r="E30" s="21"/>
      <c r="F30" s="35" t="s">
        <v>203</v>
      </c>
      <c r="G30" s="37" t="str">
        <f>IFERROR(VLOOKUP(F30,'[1]VH NO WISE'!$B$2:$C$123,2,0),"")</f>
        <v>KA51AH3122</v>
      </c>
      <c r="H30" s="23">
        <v>0.58333333333333304</v>
      </c>
      <c r="I30" s="24">
        <v>0.5</v>
      </c>
    </row>
    <row r="31" spans="1:9" x14ac:dyDescent="0.15">
      <c r="A31" s="2">
        <f t="shared" si="0"/>
        <v>28</v>
      </c>
      <c r="B31" s="7" t="s">
        <v>68</v>
      </c>
      <c r="C31" s="21" t="s">
        <v>69</v>
      </c>
      <c r="D31" s="21" t="str">
        <f>_xlfn.XLOOKUP($C31,VEH.NO!$B$2:$B$123,VEH.NO!$C$2:$C$123,"",0,1)</f>
        <v>KA51AH8183</v>
      </c>
      <c r="E31" s="21"/>
      <c r="F31" s="35" t="s">
        <v>69</v>
      </c>
      <c r="G31" s="37" t="str">
        <f>IFERROR(VLOOKUP(F31,'[1]VH NO WISE'!$B$2:$C$123,2,0),"")</f>
        <v>KA51AH8183</v>
      </c>
      <c r="H31" s="23">
        <v>0.58333333333333304</v>
      </c>
      <c r="I31" s="24">
        <v>0.47222222222222199</v>
      </c>
    </row>
    <row r="32" spans="1:9" x14ac:dyDescent="0.15">
      <c r="A32" s="2">
        <f t="shared" si="0"/>
        <v>29</v>
      </c>
      <c r="B32" s="7" t="s">
        <v>70</v>
      </c>
      <c r="C32" s="21" t="s">
        <v>71</v>
      </c>
      <c r="D32" s="21" t="str">
        <f>_xlfn.XLOOKUP($C32,VEH.NO!$B$2:$B$123,VEH.NO!$C$2:$C$123,"",0,1)</f>
        <v>KA51AH7658</v>
      </c>
      <c r="E32" s="21"/>
      <c r="F32" s="30" t="s">
        <v>71</v>
      </c>
      <c r="G32" s="37" t="str">
        <f>IFERROR(VLOOKUP(F32,'[1]VH NO WISE'!$B$2:$C$123,2,0),"")</f>
        <v>KA51AH7658</v>
      </c>
      <c r="H32" s="23">
        <v>0.58680555555555602</v>
      </c>
      <c r="I32" s="24">
        <v>0.52430555555555602</v>
      </c>
    </row>
    <row r="33" spans="1:9" x14ac:dyDescent="0.15">
      <c r="A33" s="2">
        <f t="shared" si="0"/>
        <v>30</v>
      </c>
      <c r="B33" s="7" t="s">
        <v>72</v>
      </c>
      <c r="C33" s="21" t="s">
        <v>73</v>
      </c>
      <c r="D33" s="21" t="str">
        <f>_xlfn.XLOOKUP($C33,VEH.NO!$B$2:$B$123,VEH.NO!$C$2:$C$123,"",0,1)</f>
        <v>KA51AH8350</v>
      </c>
      <c r="E33" s="21"/>
      <c r="F33" s="35" t="s">
        <v>73</v>
      </c>
      <c r="G33" s="37" t="str">
        <f>IFERROR(VLOOKUP(F33,'[1]VH NO WISE'!$B$2:$C$123,2,0),"")</f>
        <v>KA51AH8350</v>
      </c>
      <c r="H33" s="23">
        <v>0.58680555555555602</v>
      </c>
      <c r="I33" s="24">
        <v>0.46180555555555602</v>
      </c>
    </row>
    <row r="34" spans="1:9" x14ac:dyDescent="0.15">
      <c r="A34" s="2">
        <f t="shared" si="0"/>
        <v>31</v>
      </c>
      <c r="B34" s="7" t="s">
        <v>74</v>
      </c>
      <c r="C34" s="21" t="s">
        <v>75</v>
      </c>
      <c r="D34" s="21" t="str">
        <f>_xlfn.XLOOKUP($C34,VEH.NO!$B$2:$B$123,VEH.NO!$C$2:$C$123,"",0,1)</f>
        <v>KA51AH2556</v>
      </c>
      <c r="E34" s="21"/>
      <c r="F34" s="30" t="s">
        <v>122</v>
      </c>
      <c r="G34" s="37" t="str">
        <f>IFERROR(VLOOKUP(F34,'[1]VH NO WISE'!$B$2:$C$123,2,0),"")</f>
        <v>KA51AH6038</v>
      </c>
      <c r="H34" s="23">
        <v>0.59027777777777801</v>
      </c>
      <c r="I34" s="24">
        <v>0.52777777777777801</v>
      </c>
    </row>
    <row r="35" spans="1:9" x14ac:dyDescent="0.15">
      <c r="A35" s="2">
        <f t="shared" si="0"/>
        <v>32</v>
      </c>
      <c r="B35" s="7" t="s">
        <v>76</v>
      </c>
      <c r="C35" s="25" t="s">
        <v>77</v>
      </c>
      <c r="D35" s="21" t="str">
        <f>_xlfn.XLOOKUP($C35,VEH.NO!$B$2:$B$123,VEH.NO!$C$2:$C$123,"",0,1)</f>
        <v>KA51AH6470</v>
      </c>
      <c r="E35" s="21"/>
      <c r="F35" s="35" t="s">
        <v>77</v>
      </c>
      <c r="G35" s="37" t="str">
        <f>IFERROR(VLOOKUP(F35,'[1]VH NO WISE'!$B$2:$C$123,2,0),"")</f>
        <v>KA51AH6470</v>
      </c>
      <c r="H35" s="23">
        <v>0.59027777777777801</v>
      </c>
      <c r="I35" s="24">
        <v>0.5</v>
      </c>
    </row>
    <row r="36" spans="1:9" x14ac:dyDescent="0.15">
      <c r="A36" s="2">
        <f t="shared" si="0"/>
        <v>33</v>
      </c>
      <c r="B36" s="7" t="s">
        <v>78</v>
      </c>
      <c r="C36" s="21" t="s">
        <v>79</v>
      </c>
      <c r="D36" s="21" t="str">
        <f>_xlfn.XLOOKUP($C36,VEH.NO!$B$2:$B$123,VEH.NO!$C$2:$C$123,"",0,1)</f>
        <v>KA51AH6244</v>
      </c>
      <c r="E36" s="21"/>
      <c r="F36" s="35" t="s">
        <v>79</v>
      </c>
      <c r="G36" s="37" t="str">
        <f>IFERROR(VLOOKUP(F36,'[1]VH NO WISE'!$B$2:$C$123,2,0),"")</f>
        <v>KA51AH6244</v>
      </c>
      <c r="H36" s="23">
        <v>0.59027777777777801</v>
      </c>
      <c r="I36" s="24">
        <v>0.47916666666666702</v>
      </c>
    </row>
    <row r="37" spans="1:9" x14ac:dyDescent="0.15">
      <c r="A37" s="2">
        <f t="shared" si="0"/>
        <v>34</v>
      </c>
      <c r="B37" s="7" t="s">
        <v>81</v>
      </c>
      <c r="C37" s="21" t="s">
        <v>82</v>
      </c>
      <c r="D37" s="21" t="str">
        <f>_xlfn.XLOOKUP($C37,VEH.NO!$B$2:$B$123,VEH.NO!$C$2:$C$123,"",0,1)</f>
        <v>KA51AH6782</v>
      </c>
      <c r="E37" s="21"/>
      <c r="F37" s="35" t="s">
        <v>82</v>
      </c>
      <c r="G37" s="37" t="str">
        <f>IFERROR(VLOOKUP(F37,'[1]VH NO WISE'!$B$2:$C$123,2,0),"")</f>
        <v>KA51AH6782</v>
      </c>
      <c r="H37" s="23">
        <v>0.59375</v>
      </c>
      <c r="I37" s="24">
        <v>0.53125</v>
      </c>
    </row>
    <row r="38" spans="1:9" x14ac:dyDescent="0.15">
      <c r="A38" s="2">
        <f t="shared" ref="A38:A74" si="1">A37+1</f>
        <v>35</v>
      </c>
      <c r="B38" s="7" t="s">
        <v>83</v>
      </c>
      <c r="C38" s="21" t="s">
        <v>84</v>
      </c>
      <c r="D38" s="21" t="str">
        <f>_xlfn.XLOOKUP($C38,VEH.NO!$B$2:$B$123,VEH.NO!$C$2:$C$123,"",0,1)</f>
        <v>KA51AH4652</v>
      </c>
      <c r="E38" s="21"/>
      <c r="F38" s="35" t="s">
        <v>84</v>
      </c>
      <c r="G38" s="37" t="str">
        <f>IFERROR(VLOOKUP(F38,'[1]VH NO WISE'!$B$2:$C$123,2,0),"")</f>
        <v>KA51AH4652</v>
      </c>
      <c r="H38" s="23">
        <v>0.59375</v>
      </c>
      <c r="I38" s="24">
        <v>0.46875</v>
      </c>
    </row>
    <row r="39" spans="1:9" x14ac:dyDescent="0.15">
      <c r="A39" s="2">
        <f t="shared" si="1"/>
        <v>36</v>
      </c>
      <c r="B39" s="7" t="s">
        <v>85</v>
      </c>
      <c r="C39" s="21" t="s">
        <v>86</v>
      </c>
      <c r="D39" s="21" t="str">
        <f>_xlfn.XLOOKUP($C39,VEH.NO!$B$2:$B$123,VEH.NO!$C$2:$C$123,"",0,1)</f>
        <v>KA51AH4544</v>
      </c>
      <c r="E39" s="21"/>
      <c r="F39" s="35" t="s">
        <v>31</v>
      </c>
      <c r="G39" s="37" t="str">
        <f>IFERROR(VLOOKUP(F39,'[1]VH NO WISE'!$B$2:$C$123,2,0),"")</f>
        <v>KA51AH4146</v>
      </c>
      <c r="H39" s="23">
        <v>0.59375</v>
      </c>
      <c r="I39" s="24">
        <v>0.51041666666666696</v>
      </c>
    </row>
    <row r="40" spans="1:9" x14ac:dyDescent="0.15">
      <c r="A40" s="2">
        <f t="shared" si="1"/>
        <v>37</v>
      </c>
      <c r="B40" s="7" t="s">
        <v>88</v>
      </c>
      <c r="C40" s="21" t="s">
        <v>89</v>
      </c>
      <c r="D40" s="21" t="str">
        <f>_xlfn.XLOOKUP($C40,VEH.NO!$B$2:$B$123,VEH.NO!$C$2:$C$123,"",0,1)</f>
        <v>KA51AH6467</v>
      </c>
      <c r="E40" s="21"/>
      <c r="F40" s="35" t="s">
        <v>89</v>
      </c>
      <c r="G40" s="37" t="str">
        <f>IFERROR(VLOOKUP(F40,'[1]VH NO WISE'!$B$2:$C$123,2,0),"")</f>
        <v>KA51AH6467</v>
      </c>
      <c r="H40" s="23">
        <v>0.60069444444444398</v>
      </c>
      <c r="I40" s="24">
        <v>0.53819444444444398</v>
      </c>
    </row>
    <row r="41" spans="1:9" x14ac:dyDescent="0.15">
      <c r="A41" s="2">
        <f t="shared" si="1"/>
        <v>38</v>
      </c>
      <c r="B41" s="7" t="s">
        <v>90</v>
      </c>
      <c r="C41" s="21" t="s">
        <v>91</v>
      </c>
      <c r="D41" s="21" t="str">
        <f>_xlfn.XLOOKUP($C41,VEH.NO!$B$2:$B$123,VEH.NO!$C$2:$C$123,"",0,1)</f>
        <v>KA51AH7668</v>
      </c>
      <c r="E41" s="21"/>
      <c r="F41" s="30" t="s">
        <v>16</v>
      </c>
      <c r="G41" s="37" t="str">
        <f>IFERROR(VLOOKUP(F41,'[1]VH NO WISE'!$B$2:$C$123,2,0),"")</f>
        <v>KA51AH7656</v>
      </c>
      <c r="H41" s="23">
        <v>0.60069444444444398</v>
      </c>
      <c r="I41" s="24">
        <v>0.47569444444444398</v>
      </c>
    </row>
    <row r="42" spans="1:9" x14ac:dyDescent="0.15">
      <c r="A42" s="2">
        <f t="shared" si="1"/>
        <v>39</v>
      </c>
      <c r="B42" s="7" t="s">
        <v>92</v>
      </c>
      <c r="C42" s="21" t="s">
        <v>93</v>
      </c>
      <c r="D42" s="21" t="str">
        <f>_xlfn.XLOOKUP($C42,VEH.NO!$B$2:$B$123,VEH.NO!$C$2:$C$123,"",0,1)</f>
        <v>KA51AH4540</v>
      </c>
      <c r="E42" s="32"/>
      <c r="F42" s="30" t="s">
        <v>12</v>
      </c>
      <c r="G42" s="37" t="str">
        <f>IFERROR(VLOOKUP(F42,'[1]VH NO WISE'!$B$2:$C$123,2,0),"")</f>
        <v>KA51AH6246</v>
      </c>
      <c r="H42" s="23">
        <v>0.60069444444444398</v>
      </c>
      <c r="I42" s="24">
        <v>0.50694444444444398</v>
      </c>
    </row>
    <row r="43" spans="1:9" x14ac:dyDescent="0.15">
      <c r="A43" s="2">
        <f t="shared" si="1"/>
        <v>40</v>
      </c>
      <c r="B43" s="7" t="s">
        <v>95</v>
      </c>
      <c r="C43" s="21" t="s">
        <v>96</v>
      </c>
      <c r="D43" s="21" t="str">
        <f>_xlfn.XLOOKUP($C43,VEH.NO!$B$2:$B$123,VEH.NO!$C$2:$C$123,"",0,1)</f>
        <v>KA51AJ0137</v>
      </c>
      <c r="E43" s="21"/>
      <c r="F43" s="35" t="s">
        <v>96</v>
      </c>
      <c r="G43" s="37" t="str">
        <f>IFERROR(VLOOKUP(F43,'[1]VH NO WISE'!$B$2:$C$123,2,0),"")</f>
        <v>KA51AJ0137</v>
      </c>
      <c r="H43" s="23">
        <v>0.60416666666666696</v>
      </c>
      <c r="I43" s="24">
        <v>0.54166666666666696</v>
      </c>
    </row>
    <row r="44" spans="1:9" x14ac:dyDescent="0.15">
      <c r="A44" s="2">
        <f t="shared" si="1"/>
        <v>41</v>
      </c>
      <c r="B44" s="7" t="s">
        <v>97</v>
      </c>
      <c r="C44" s="21" t="s">
        <v>98</v>
      </c>
      <c r="D44" s="21" t="str">
        <f>_xlfn.XLOOKUP($C44,VEH.NO!$B$2:$B$123,VEH.NO!$C$2:$C$123,"",0,1)</f>
        <v>KA51AH7666</v>
      </c>
      <c r="E44" s="21"/>
      <c r="F44" s="30"/>
      <c r="G44" s="37" t="str">
        <f>IFERROR(VLOOKUP(F44,'[1]VH NO WISE'!$B$2:$C$123,2,0),"")</f>
        <v/>
      </c>
      <c r="H44" s="23">
        <v>0.60416666666666696</v>
      </c>
      <c r="I44" s="24">
        <v>0.52083333333333304</v>
      </c>
    </row>
    <row r="45" spans="1:9" x14ac:dyDescent="0.15">
      <c r="A45" s="2">
        <f t="shared" si="1"/>
        <v>42</v>
      </c>
      <c r="B45" s="7" t="s">
        <v>99</v>
      </c>
      <c r="C45" s="21" t="s">
        <v>100</v>
      </c>
      <c r="D45" s="21" t="str">
        <f>_xlfn.XLOOKUP($C45,VEH.NO!$B$2:$B$123,VEH.NO!$C$2:$C$123,"",0,1)</f>
        <v>KA51AH8182</v>
      </c>
      <c r="E45" s="21"/>
      <c r="F45" s="35" t="s">
        <v>133</v>
      </c>
      <c r="G45" s="37" t="str">
        <f>IFERROR(VLOOKUP(F45,'[1]VH NO WISE'!$B$2:$C$123,2,0),"")</f>
        <v>KA51AJ0138</v>
      </c>
      <c r="H45" s="23">
        <v>0.60763888888888895</v>
      </c>
      <c r="I45" s="24">
        <v>0.51388888888888895</v>
      </c>
    </row>
    <row r="46" spans="1:9" x14ac:dyDescent="0.15">
      <c r="A46" s="2">
        <f t="shared" si="1"/>
        <v>43</v>
      </c>
      <c r="B46" s="7" t="s">
        <v>101</v>
      </c>
      <c r="C46" s="21" t="s">
        <v>102</v>
      </c>
      <c r="D46" s="21" t="str">
        <f>_xlfn.XLOOKUP($C46,VEH.NO!$B$2:$B$123,VEH.NO!$C$2:$C$123,"",0,1)</f>
        <v>KA51AH6095</v>
      </c>
      <c r="E46" s="21"/>
      <c r="F46" s="35" t="s">
        <v>102</v>
      </c>
      <c r="G46" s="37" t="str">
        <f>IFERROR(VLOOKUP(F46,'[1]VH NO WISE'!$B$2:$C$123,2,0),"")</f>
        <v>KA51AH6095</v>
      </c>
      <c r="H46" s="23">
        <v>0.60763888888888895</v>
      </c>
      <c r="I46" s="24">
        <v>0.54513888888888895</v>
      </c>
    </row>
    <row r="47" spans="1:9" x14ac:dyDescent="0.15">
      <c r="A47" s="2">
        <f t="shared" si="1"/>
        <v>44</v>
      </c>
      <c r="B47" s="7" t="s">
        <v>103</v>
      </c>
      <c r="C47" s="21" t="s">
        <v>104</v>
      </c>
      <c r="D47" s="21" t="str">
        <f>_xlfn.XLOOKUP($C47,VEH.NO!$B$2:$B$123,VEH.NO!$C$2:$C$123,"",0,1)</f>
        <v>KA51AH3269</v>
      </c>
      <c r="E47" s="21"/>
      <c r="F47" s="30" t="s">
        <v>104</v>
      </c>
      <c r="G47" s="37" t="str">
        <f>IFERROR(VLOOKUP(F47,'[1]VH NO WISE'!$B$2:$C$123,2,0),"")</f>
        <v>KA51AH3269</v>
      </c>
      <c r="H47" s="23">
        <v>0.60763888888888895</v>
      </c>
      <c r="I47" s="24">
        <v>0.48263888888888901</v>
      </c>
    </row>
    <row r="48" spans="1:9" x14ac:dyDescent="0.15">
      <c r="A48" s="2">
        <f t="shared" si="1"/>
        <v>45</v>
      </c>
      <c r="B48" s="7" t="s">
        <v>106</v>
      </c>
      <c r="C48" s="21" t="s">
        <v>107</v>
      </c>
      <c r="D48" s="21" t="str">
        <f>_xlfn.XLOOKUP($C48,VEH.NO!$B$2:$B$123,VEH.NO!$C$2:$C$123,"",0,1)</f>
        <v>KA51AH6097</v>
      </c>
      <c r="E48" s="21"/>
      <c r="F48" s="30" t="s">
        <v>107</v>
      </c>
      <c r="G48" s="37" t="str">
        <f>IFERROR(VLOOKUP(F48,'[1]VH NO WISE'!$B$2:$C$123,2,0),"")</f>
        <v>KA51AH6097</v>
      </c>
      <c r="H48" s="23">
        <v>0.61111111111111105</v>
      </c>
      <c r="I48" s="24">
        <v>0.57638888888888895</v>
      </c>
    </row>
    <row r="49" spans="1:9" x14ac:dyDescent="0.15">
      <c r="A49" s="2">
        <f t="shared" si="1"/>
        <v>46</v>
      </c>
      <c r="B49" s="7" t="s">
        <v>108</v>
      </c>
      <c r="C49" s="21" t="s">
        <v>36</v>
      </c>
      <c r="D49" s="21" t="str">
        <f>_xlfn.XLOOKUP($C49,VEH.NO!$B$2:$B$123,VEH.NO!$C$2:$C$123,"",0,1)</f>
        <v>KA51AH3603</v>
      </c>
      <c r="E49" s="21"/>
      <c r="F49" s="30" t="s">
        <v>65</v>
      </c>
      <c r="G49" s="37" t="str">
        <f>IFERROR(VLOOKUP(F49,'[1]VH NO WISE'!$B$2:$C$123,2,0),"")</f>
        <v>KA51AH8348</v>
      </c>
      <c r="H49" s="23">
        <v>0.61458333333333304</v>
      </c>
      <c r="I49" s="24">
        <v>0.55208333333333304</v>
      </c>
    </row>
    <row r="50" spans="1:9" x14ac:dyDescent="0.15">
      <c r="A50" s="2">
        <f t="shared" si="1"/>
        <v>47</v>
      </c>
      <c r="B50" s="7" t="s">
        <v>109</v>
      </c>
      <c r="C50" s="21" t="s">
        <v>110</v>
      </c>
      <c r="D50" s="21" t="str">
        <f>_xlfn.XLOOKUP($C50,VEH.NO!$B$2:$B$123,VEH.NO!$C$2:$C$123,"",0,1)</f>
        <v>KA51AH4799</v>
      </c>
      <c r="E50" s="21"/>
      <c r="F50" s="35" t="s">
        <v>182</v>
      </c>
      <c r="G50" s="37" t="str">
        <f>IFERROR(VLOOKUP(F50,'[1]VH NO WISE'!$B$2:$C$123,2,0),"")</f>
        <v>KA51AH2421</v>
      </c>
      <c r="H50" s="23">
        <v>0.61458333333333304</v>
      </c>
      <c r="I50" s="24">
        <v>0.48958333333333298</v>
      </c>
    </row>
    <row r="51" spans="1:9" x14ac:dyDescent="0.15">
      <c r="A51" s="2">
        <f t="shared" si="1"/>
        <v>48</v>
      </c>
      <c r="B51" s="7" t="s">
        <v>112</v>
      </c>
      <c r="C51" s="21" t="s">
        <v>113</v>
      </c>
      <c r="D51" s="21" t="str">
        <f>_xlfn.XLOOKUP($C51,VEH.NO!$B$2:$B$123,VEH.NO!$C$2:$C$123,"",0,1)</f>
        <v>KA51AH7779</v>
      </c>
      <c r="E51" s="21"/>
      <c r="F51" s="35" t="s">
        <v>113</v>
      </c>
      <c r="G51" s="37" t="str">
        <f>IFERROR(VLOOKUP(F51,'[1]VH NO WISE'!$B$2:$C$123,2,0),"")</f>
        <v>KA51AH7779</v>
      </c>
      <c r="H51" s="23">
        <v>0.61458333333333304</v>
      </c>
      <c r="I51" s="24">
        <v>0.53125</v>
      </c>
    </row>
    <row r="52" spans="1:9" x14ac:dyDescent="0.15">
      <c r="A52" s="2">
        <f t="shared" si="1"/>
        <v>49</v>
      </c>
      <c r="B52" s="7" t="s">
        <v>114</v>
      </c>
      <c r="C52" s="21" t="s">
        <v>115</v>
      </c>
      <c r="D52" s="21" t="str">
        <f>_xlfn.XLOOKUP($C52,VEH.NO!$B$2:$B$123,VEH.NO!$C$2:$C$123,"",0,1)</f>
        <v>KA51AH8349</v>
      </c>
      <c r="E52" s="21"/>
      <c r="F52" s="30" t="s">
        <v>115</v>
      </c>
      <c r="G52" s="37" t="str">
        <f>IFERROR(VLOOKUP(F52,'[1]VH NO WISE'!$B$2:$C$123,2,0),"")</f>
        <v>KA51AH8349</v>
      </c>
      <c r="H52" s="23">
        <v>0.61805555555555602</v>
      </c>
      <c r="I52" s="24">
        <v>0.55555555555555602</v>
      </c>
    </row>
    <row r="53" spans="1:9" x14ac:dyDescent="0.15">
      <c r="A53" s="2">
        <f t="shared" si="1"/>
        <v>50</v>
      </c>
      <c r="B53" s="7" t="s">
        <v>117</v>
      </c>
      <c r="C53" s="21" t="s">
        <v>105</v>
      </c>
      <c r="D53" s="21" t="str">
        <f>_xlfn.XLOOKUP($C53,VEH.NO!$B$2:$B$123,VEH.NO!$C$2:$C$123,"",0,1)</f>
        <v>KA51AH6780</v>
      </c>
      <c r="E53" s="21"/>
      <c r="F53" s="35" t="s">
        <v>110</v>
      </c>
      <c r="G53" s="37" t="str">
        <f>IFERROR(VLOOKUP(F53,'[1]VH NO WISE'!$B$2:$C$123,2,0),"")</f>
        <v>KA51AH4799</v>
      </c>
      <c r="H53" s="23">
        <v>0.62152777777777801</v>
      </c>
      <c r="I53" s="24">
        <v>0.55902777777777801</v>
      </c>
    </row>
    <row r="54" spans="1:9" x14ac:dyDescent="0.15">
      <c r="A54" s="2">
        <f t="shared" si="1"/>
        <v>51</v>
      </c>
      <c r="B54" s="7" t="s">
        <v>118</v>
      </c>
      <c r="C54" s="21" t="s">
        <v>119</v>
      </c>
      <c r="D54" s="21" t="str">
        <f>_xlfn.XLOOKUP($C54,VEH.NO!$B$2:$B$123,VEH.NO!$C$2:$C$123,"",0,1)</f>
        <v>KA51AH6472</v>
      </c>
      <c r="E54" s="21"/>
      <c r="F54" s="30" t="s">
        <v>91</v>
      </c>
      <c r="G54" s="37" t="str">
        <f>IFERROR(VLOOKUP(F54,'[1]VH NO WISE'!$B$2:$C$123,2,0),"")</f>
        <v>KA51AH7668</v>
      </c>
      <c r="H54" s="23">
        <v>0.62152777777777801</v>
      </c>
      <c r="I54" s="24">
        <v>0.49652777777777801</v>
      </c>
    </row>
    <row r="55" spans="1:9" x14ac:dyDescent="0.15">
      <c r="A55" s="2">
        <f t="shared" si="1"/>
        <v>52</v>
      </c>
      <c r="B55" s="7" t="s">
        <v>120</v>
      </c>
      <c r="C55" s="21" t="s">
        <v>121</v>
      </c>
      <c r="D55" s="21" t="str">
        <f>_xlfn.XLOOKUP($C55,VEH.NO!$B$2:$B$123,VEH.NO!$C$2:$C$123,"",0,1)</f>
        <v>KA51AH4800</v>
      </c>
      <c r="E55" s="21"/>
      <c r="F55" s="30" t="s">
        <v>36</v>
      </c>
      <c r="G55" s="37" t="str">
        <f>IFERROR(VLOOKUP(F55,'[1]VH NO WISE'!$B$2:$C$123,2,0),"")</f>
        <v>KA51AH3603</v>
      </c>
      <c r="H55" s="23">
        <v>0.625</v>
      </c>
      <c r="I55" s="24">
        <v>0.54166666666666696</v>
      </c>
    </row>
    <row r="56" spans="1:9" x14ac:dyDescent="0.15">
      <c r="A56" s="2">
        <f t="shared" si="1"/>
        <v>53</v>
      </c>
      <c r="B56" s="7" t="s">
        <v>123</v>
      </c>
      <c r="C56" s="21" t="s">
        <v>124</v>
      </c>
      <c r="D56" s="21" t="str">
        <f>_xlfn.XLOOKUP($C56,VEH.NO!$B$2:$B$123,VEH.NO!$C$2:$C$123,"",0,1)</f>
        <v>KA51AH2424</v>
      </c>
      <c r="E56" s="21"/>
      <c r="F56" s="30" t="s">
        <v>75</v>
      </c>
      <c r="G56" s="37" t="str">
        <f>IFERROR(VLOOKUP(F56,'[1]VH NO WISE'!$B$2:$C$123,2,0),"")</f>
        <v>KA51AH2556</v>
      </c>
      <c r="H56" s="23">
        <v>0.62847222222222199</v>
      </c>
      <c r="I56" s="24">
        <v>0.50347222222222199</v>
      </c>
    </row>
    <row r="57" spans="1:9" x14ac:dyDescent="0.15">
      <c r="A57" s="2">
        <f t="shared" si="1"/>
        <v>54</v>
      </c>
      <c r="B57" s="7" t="s">
        <v>125</v>
      </c>
      <c r="C57" s="21" t="s">
        <v>87</v>
      </c>
      <c r="D57" s="21" t="str">
        <f>_xlfn.XLOOKUP($C57,VEH.NO!$B$2:$B$123,VEH.NO!$C$2:$C$123,"",0,1)</f>
        <v>KA51AH2956</v>
      </c>
      <c r="E57" s="21"/>
      <c r="F57" s="35" t="s">
        <v>121</v>
      </c>
      <c r="G57" s="37" t="str">
        <f>IFERROR(VLOOKUP(F57,'[1]VH NO WISE'!$B$2:$C$123,2,0),"")</f>
        <v>KA51AH4800</v>
      </c>
      <c r="H57" s="23">
        <v>0.63194444444444398</v>
      </c>
      <c r="I57" s="24">
        <v>0.54861111111111105</v>
      </c>
    </row>
    <row r="58" spans="1:9" x14ac:dyDescent="0.15">
      <c r="A58" s="2">
        <f t="shared" si="1"/>
        <v>55</v>
      </c>
      <c r="B58" s="7" t="s">
        <v>126</v>
      </c>
      <c r="C58" s="21" t="s">
        <v>127</v>
      </c>
      <c r="D58" s="21" t="str">
        <f>_xlfn.XLOOKUP($C58,VEH.NO!$B$2:$B$123,VEH.NO!$C$2:$C$123,"",0,1)</f>
        <v>KA51AH6247</v>
      </c>
      <c r="E58" s="21"/>
      <c r="F58" s="35" t="s">
        <v>127</v>
      </c>
      <c r="G58" s="37" t="str">
        <f>IFERROR(VLOOKUP(F58,'[1]VH NO WISE'!$B$2:$C$123,2,0),"")</f>
        <v>KA51AH6247</v>
      </c>
      <c r="H58" s="23">
        <v>0.63194444444444398</v>
      </c>
      <c r="I58" s="24">
        <v>0.56944444444444398</v>
      </c>
    </row>
    <row r="59" spans="1:9" x14ac:dyDescent="0.15">
      <c r="A59" s="2">
        <f t="shared" si="1"/>
        <v>56</v>
      </c>
      <c r="B59" s="7" t="s">
        <v>128</v>
      </c>
      <c r="C59" s="21" t="s">
        <v>122</v>
      </c>
      <c r="D59" s="21" t="str">
        <f>_xlfn.XLOOKUP($C59,VEH.NO!$B$2:$B$123,VEH.NO!$C$2:$C$123,"",0,1)</f>
        <v>KA51AH6038</v>
      </c>
      <c r="E59" s="21"/>
      <c r="F59" s="30" t="s">
        <v>129</v>
      </c>
      <c r="G59" s="37" t="str">
        <f>IFERROR(VLOOKUP(F59,'[1]VH NO WISE'!$B$2:$C$123,2,0),"")</f>
        <v>KA51AH4129</v>
      </c>
      <c r="H59" s="23">
        <v>0.63888888888888895</v>
      </c>
      <c r="I59" s="24">
        <v>0.49305555555555602</v>
      </c>
    </row>
    <row r="60" spans="1:9" x14ac:dyDescent="0.15">
      <c r="A60" s="2">
        <f t="shared" si="1"/>
        <v>57</v>
      </c>
      <c r="B60" s="7" t="s">
        <v>130</v>
      </c>
      <c r="C60" s="21" t="s">
        <v>131</v>
      </c>
      <c r="D60" s="21" t="str">
        <f>_xlfn.XLOOKUP($C60,VEH.NO!$B$2:$B$123,VEH.NO!$C$2:$C$123,"",0,1)</f>
        <v>KA51AH5820</v>
      </c>
      <c r="E60" s="21"/>
      <c r="F60" s="36" t="s">
        <v>86</v>
      </c>
      <c r="G60" s="37" t="str">
        <f>IFERROR(VLOOKUP(F60,'[1]VH NO WISE'!$B$2:$C$123,2,0),"")</f>
        <v>KA51AH4544</v>
      </c>
      <c r="H60" s="23">
        <v>0.64583333333333304</v>
      </c>
      <c r="I60" s="24">
        <v>0.5625</v>
      </c>
    </row>
    <row r="61" spans="1:9" x14ac:dyDescent="0.15">
      <c r="A61" s="2">
        <f t="shared" si="1"/>
        <v>58</v>
      </c>
      <c r="B61" s="7" t="s">
        <v>132</v>
      </c>
      <c r="C61" s="21" t="s">
        <v>133</v>
      </c>
      <c r="D61" s="21" t="str">
        <f>_xlfn.XLOOKUP($C61,VEH.NO!$B$2:$B$123,VEH.NO!$C$2:$C$123,"",0,1)</f>
        <v>KA51AJ0138</v>
      </c>
      <c r="E61" s="21"/>
      <c r="F61" s="30" t="s">
        <v>134</v>
      </c>
      <c r="G61" s="37" t="str">
        <f>IFERROR(VLOOKUP(F61,'[1]VH NO WISE'!$B$2:$C$123,2,0),"")</f>
        <v>KA51AH5823</v>
      </c>
      <c r="H61" s="23">
        <v>0.64583333333333304</v>
      </c>
      <c r="I61" s="24">
        <v>0.58333333333333304</v>
      </c>
    </row>
    <row r="62" spans="1:9" x14ac:dyDescent="0.15">
      <c r="A62" s="2">
        <f t="shared" si="1"/>
        <v>59</v>
      </c>
      <c r="B62" s="7" t="s">
        <v>135</v>
      </c>
      <c r="C62" s="25" t="s">
        <v>94</v>
      </c>
      <c r="D62" s="21" t="str">
        <f>_xlfn.XLOOKUP($C62,VEH.NO!$B$2:$B$123,VEH.NO!$C$2:$C$123,"",0,1)</f>
        <v>KA51AH7672</v>
      </c>
      <c r="E62" s="21"/>
      <c r="F62" s="30" t="s">
        <v>136</v>
      </c>
      <c r="G62" s="37" t="str">
        <f>IFERROR(VLOOKUP(F62,'[1]VH NO WISE'!$B$2:$C$123,2,0),"")</f>
        <v>KA51AH7670</v>
      </c>
      <c r="H62" s="23">
        <v>0.64930555555555602</v>
      </c>
      <c r="I62" s="24">
        <v>0.58680555555555602</v>
      </c>
    </row>
    <row r="63" spans="1:9" x14ac:dyDescent="0.15">
      <c r="A63" s="2">
        <f t="shared" si="1"/>
        <v>60</v>
      </c>
      <c r="B63" s="7" t="s">
        <v>137</v>
      </c>
      <c r="C63" s="21" t="s">
        <v>138</v>
      </c>
      <c r="D63" s="21" t="str">
        <f>_xlfn.XLOOKUP($C63,VEH.NO!$B$2:$B$123,VEH.NO!$C$2:$C$123,"",0,1)</f>
        <v>KA51AH6469</v>
      </c>
      <c r="E63" s="21"/>
      <c r="F63" s="30" t="s">
        <v>138</v>
      </c>
      <c r="G63" s="37" t="str">
        <f>IFERROR(VLOOKUP(F63,'[1]VH NO WISE'!$B$2:$C$123,2,0),"")</f>
        <v>KA51AH6469</v>
      </c>
      <c r="H63" s="23">
        <v>0.64930555555555602</v>
      </c>
      <c r="I63" s="24">
        <v>0.57291666666666696</v>
      </c>
    </row>
    <row r="64" spans="1:9" x14ac:dyDescent="0.15">
      <c r="A64" s="2">
        <f t="shared" si="1"/>
        <v>61</v>
      </c>
      <c r="B64" s="7" t="s">
        <v>139</v>
      </c>
      <c r="C64" s="21" t="s">
        <v>19</v>
      </c>
      <c r="D64" s="21" t="str">
        <f>_xlfn.XLOOKUP($C64,VEH.NO!$B$2:$B$123,VEH.NO!$C$2:$C$123,"",0,1)</f>
        <v>KA51AH2551</v>
      </c>
      <c r="E64" s="21">
        <v>5825</v>
      </c>
      <c r="F64" s="30" t="s">
        <v>111</v>
      </c>
      <c r="G64" s="37" t="str">
        <f>IFERROR(VLOOKUP(F64,'[1]VH NO WISE'!$B$2:$C$123,2,0),"")</f>
        <v>KA51AH2741</v>
      </c>
      <c r="H64" s="23">
        <v>0.65277777777777801</v>
      </c>
      <c r="I64" s="24">
        <v>0.5</v>
      </c>
    </row>
    <row r="65" spans="1:9" x14ac:dyDescent="0.15">
      <c r="A65" s="2">
        <f t="shared" si="1"/>
        <v>62</v>
      </c>
      <c r="B65" s="7" t="s">
        <v>141</v>
      </c>
      <c r="C65" s="25" t="s">
        <v>140</v>
      </c>
      <c r="D65" s="21" t="str">
        <f>_xlfn.XLOOKUP($C65,VEH.NO!$B$2:$B$123,VEH.NO!$C$2:$C$123,"",0,1)</f>
        <v>KA51AH2619</v>
      </c>
      <c r="E65" s="21"/>
      <c r="F65" s="35" t="s">
        <v>94</v>
      </c>
      <c r="G65" s="37" t="str">
        <f>IFERROR(VLOOKUP(F65,'[1]VH NO WISE'!$B$2:$C$123,2,0),"")</f>
        <v>KA51AH7672</v>
      </c>
      <c r="H65" s="23">
        <v>0.65625</v>
      </c>
      <c r="I65" s="24">
        <v>0.59375</v>
      </c>
    </row>
    <row r="66" spans="1:9" x14ac:dyDescent="0.15">
      <c r="A66" s="2">
        <f t="shared" si="1"/>
        <v>63</v>
      </c>
      <c r="B66" s="7" t="s">
        <v>142</v>
      </c>
      <c r="C66" s="21" t="s">
        <v>143</v>
      </c>
      <c r="D66" s="21" t="str">
        <f>_xlfn.XLOOKUP($C66,VEH.NO!$B$2:$B$123,VEH.NO!$C$2:$C$123,"",0,1)</f>
        <v>KA51AH6096</v>
      </c>
      <c r="E66" s="21"/>
      <c r="F66" s="30" t="s">
        <v>143</v>
      </c>
      <c r="G66" s="37" t="str">
        <f>IFERROR(VLOOKUP(F66,'[1]VH NO WISE'!$B$2:$C$123,2,0),"")</f>
        <v>KA51AH6096</v>
      </c>
      <c r="H66" s="23">
        <v>0.65625</v>
      </c>
      <c r="I66" s="24">
        <v>0.53472222222222199</v>
      </c>
    </row>
    <row r="67" spans="1:9" x14ac:dyDescent="0.15">
      <c r="A67" s="2">
        <f t="shared" si="1"/>
        <v>64</v>
      </c>
      <c r="B67" s="7" t="s">
        <v>144</v>
      </c>
      <c r="C67" s="21" t="s">
        <v>31</v>
      </c>
      <c r="D67" s="21" t="str">
        <f>_xlfn.XLOOKUP($C67,VEH.NO!$B$2:$B$123,VEH.NO!$C$2:$C$123,"",0,1)</f>
        <v>KA51AH4146</v>
      </c>
      <c r="E67" s="21"/>
      <c r="F67" s="30" t="s">
        <v>131</v>
      </c>
      <c r="G67" s="37" t="str">
        <f>IFERROR(VLOOKUP(F67,'[1]VH NO WISE'!$B$2:$C$123,2,0),"")</f>
        <v>KA51AH5820</v>
      </c>
      <c r="H67" s="23">
        <v>0.65972222222222199</v>
      </c>
      <c r="I67" s="24">
        <v>0.57638888888888895</v>
      </c>
    </row>
    <row r="68" spans="1:9" x14ac:dyDescent="0.15">
      <c r="A68" s="2">
        <f t="shared" si="1"/>
        <v>65</v>
      </c>
      <c r="B68" s="7" t="s">
        <v>145</v>
      </c>
      <c r="C68" s="21" t="s">
        <v>134</v>
      </c>
      <c r="D68" s="21" t="str">
        <f>_xlfn.XLOOKUP($C68,VEH.NO!$B$2:$B$123,VEH.NO!$C$2:$C$123,"",0,1)</f>
        <v>KA51AH5823</v>
      </c>
      <c r="E68" s="21"/>
      <c r="F68" s="35" t="s">
        <v>98</v>
      </c>
      <c r="G68" s="37" t="str">
        <f>IFERROR(VLOOKUP(F68,'[1]VH NO WISE'!$B$2:$C$123,2,0),"")</f>
        <v>KA51AH7666</v>
      </c>
      <c r="H68" s="23">
        <v>0.65972222222222199</v>
      </c>
      <c r="I68" s="24">
        <v>0.59722222222222199</v>
      </c>
    </row>
    <row r="69" spans="1:9" x14ac:dyDescent="0.15">
      <c r="A69" s="2">
        <f t="shared" si="1"/>
        <v>66</v>
      </c>
      <c r="B69" s="7" t="s">
        <v>146</v>
      </c>
      <c r="C69" s="21" t="s">
        <v>147</v>
      </c>
      <c r="D69" s="21" t="str">
        <f>_xlfn.XLOOKUP($C69,VEH.NO!$B$2:$B$123,VEH.NO!$C$2:$C$123,"",0,1)</f>
        <v>KA51AH4789</v>
      </c>
      <c r="E69" s="21"/>
      <c r="F69" s="35" t="s">
        <v>147</v>
      </c>
      <c r="G69" s="37" t="str">
        <f>IFERROR(VLOOKUP(F69,'[1]VH NO WISE'!$B$2:$C$123,2,0),"")</f>
        <v>KA51AH4789</v>
      </c>
      <c r="H69" s="23">
        <v>0.66319444444444398</v>
      </c>
      <c r="I69" s="24">
        <v>0.60069444444444398</v>
      </c>
    </row>
    <row r="70" spans="1:9" x14ac:dyDescent="0.15">
      <c r="A70" s="2">
        <f t="shared" si="1"/>
        <v>67</v>
      </c>
      <c r="B70" s="7" t="s">
        <v>148</v>
      </c>
      <c r="C70" s="21" t="s">
        <v>149</v>
      </c>
      <c r="D70" s="21" t="str">
        <f>_xlfn.XLOOKUP($C70,VEH.NO!$B$2:$B$123,VEH.NO!$C$2:$C$123,"",0,1)</f>
        <v>KA51AH3127</v>
      </c>
      <c r="E70" s="21"/>
      <c r="F70" s="30" t="s">
        <v>124</v>
      </c>
      <c r="G70" s="37" t="str">
        <f>IFERROR(VLOOKUP(F70,'[1]VH NO WISE'!$B$2:$C$123,2,0),"")</f>
        <v>KA51AH2424</v>
      </c>
      <c r="H70" s="23">
        <v>0.66666666666666696</v>
      </c>
      <c r="I70" s="24">
        <v>0.51388888888888895</v>
      </c>
    </row>
    <row r="71" spans="1:9" x14ac:dyDescent="0.15">
      <c r="A71" s="2">
        <f t="shared" si="1"/>
        <v>68</v>
      </c>
      <c r="B71" s="7" t="s">
        <v>150</v>
      </c>
      <c r="C71" s="25" t="s">
        <v>116</v>
      </c>
      <c r="D71" s="21" t="str">
        <f>_xlfn.XLOOKUP($C71,VEH.NO!$B$2:$B$123,VEH.NO!$C$2:$C$123,"",0,1)</f>
        <v>KA51AH4801</v>
      </c>
      <c r="E71" s="21"/>
      <c r="F71" s="35" t="s">
        <v>116</v>
      </c>
      <c r="G71" s="37" t="str">
        <f>IFERROR(VLOOKUP(F71,'[1]VH NO WISE'!$B$2:$C$123,2,0),"")</f>
        <v>KA51AH4801</v>
      </c>
      <c r="H71" s="23">
        <v>0.66666666666666696</v>
      </c>
      <c r="I71" s="24">
        <v>0.54513888888888895</v>
      </c>
    </row>
    <row r="72" spans="1:9" x14ac:dyDescent="0.25">
      <c r="A72" s="2">
        <f t="shared" si="1"/>
        <v>69</v>
      </c>
      <c r="B72" s="7" t="s">
        <v>151</v>
      </c>
      <c r="C72" s="26" t="s">
        <v>152</v>
      </c>
      <c r="D72" s="21" t="str">
        <f>_xlfn.XLOOKUP($C72,VEH.NO!$B$2:$B$123,VEH.NO!$C$2:$C$123,"",0,1)</f>
        <v>KA51AH4144</v>
      </c>
      <c r="E72" s="21"/>
      <c r="F72" s="35" t="s">
        <v>119</v>
      </c>
      <c r="G72" s="37" t="str">
        <f>IFERROR(VLOOKUP(F72,'[1]VH NO WISE'!$B$2:$C$123,2,0),"")</f>
        <v>KA51AH6472</v>
      </c>
      <c r="H72" s="23">
        <v>0.67013888888888895</v>
      </c>
      <c r="I72" s="24">
        <v>0.60763888888888895</v>
      </c>
    </row>
    <row r="73" spans="1:9" x14ac:dyDescent="0.25">
      <c r="A73" s="2">
        <f t="shared" si="1"/>
        <v>70</v>
      </c>
      <c r="B73" s="7" t="s">
        <v>153</v>
      </c>
      <c r="C73" s="27" t="s">
        <v>154</v>
      </c>
      <c r="D73" s="21" t="str">
        <f>_xlfn.XLOOKUP($C73,VEH.NO!$B$2:$B$123,VEH.NO!$C$2:$C$123,"",0,1)</f>
        <v>KA51AH2423</v>
      </c>
      <c r="E73" s="21"/>
      <c r="F73" s="35" t="s">
        <v>171</v>
      </c>
      <c r="G73" s="37" t="str">
        <f>IFERROR(VLOOKUP(F73,'[1]VH NO WISE'!$B$2:$C$123,2,0),"")</f>
        <v>KA51AH6468</v>
      </c>
      <c r="H73" s="23">
        <v>0.67708333333333304</v>
      </c>
      <c r="I73" s="24">
        <v>0.61458333333333304</v>
      </c>
    </row>
    <row r="74" spans="1:9" x14ac:dyDescent="0.15">
      <c r="A74" s="2">
        <f t="shared" si="1"/>
        <v>71</v>
      </c>
      <c r="B74" s="7" t="s">
        <v>155</v>
      </c>
      <c r="C74" s="28" t="s">
        <v>80</v>
      </c>
      <c r="D74" s="21" t="str">
        <f>_xlfn.XLOOKUP($C74,VEH.NO!$B$2:$B$123,VEH.NO!$C$2:$C$123,"",0,1)</f>
        <v>KA51AH2434</v>
      </c>
      <c r="E74" s="21"/>
      <c r="F74" s="30" t="s">
        <v>46</v>
      </c>
      <c r="G74" s="37" t="str">
        <f>IFERROR(VLOOKUP(F74,'[1]VH NO WISE'!$B$2:$C$123,2,0),"")</f>
        <v>KA51AH3125</v>
      </c>
      <c r="H74" s="23">
        <v>0.68402777777777801</v>
      </c>
      <c r="I74" s="24">
        <v>0.62152777777777801</v>
      </c>
    </row>
    <row r="75" spans="1:9" x14ac:dyDescent="0.15">
      <c r="A75" s="1" t="s">
        <v>156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31" t="s">
        <v>6</v>
      </c>
      <c r="H75" s="1" t="s">
        <v>7</v>
      </c>
      <c r="I75" s="1" t="s">
        <v>8</v>
      </c>
    </row>
    <row r="76" spans="1:9" x14ac:dyDescent="0.25">
      <c r="A76" s="2">
        <v>1</v>
      </c>
      <c r="B76" s="3" t="s">
        <v>157</v>
      </c>
      <c r="C76" s="21" t="s">
        <v>158</v>
      </c>
      <c r="D76" s="21" t="str">
        <f>_xlfn.XLOOKUP($C76,VEH.NO!$B$2:$B$123,VEH.NO!$C$2:$C$123,"",0,1)</f>
        <v>KA51AH5641</v>
      </c>
      <c r="E76" s="2"/>
      <c r="F76" s="38" t="s">
        <v>162</v>
      </c>
      <c r="G76" s="39" t="str">
        <f>IFERROR(VLOOKUP($C76,[2]Sheet5!$B$2:$C$304,2,0),"")</f>
        <v>KA51AH5641</v>
      </c>
      <c r="H76" s="5">
        <v>0.57291666666666696</v>
      </c>
      <c r="I76" s="8">
        <v>0.54166666666666696</v>
      </c>
    </row>
    <row r="77" spans="1:9" x14ac:dyDescent="0.25">
      <c r="A77" s="2">
        <v>2</v>
      </c>
      <c r="B77" s="3" t="s">
        <v>159</v>
      </c>
      <c r="C77" s="21" t="s">
        <v>160</v>
      </c>
      <c r="D77" s="21" t="str">
        <f>_xlfn.XLOOKUP($C77,VEH.NO!$B$2:$B$123,VEH.NO!$C$2:$C$123,"",0,1)</f>
        <v>KA51AH8284</v>
      </c>
      <c r="E77" s="29"/>
      <c r="F77" s="38" t="s">
        <v>158</v>
      </c>
      <c r="G77" s="39" t="str">
        <f>IFERROR(VLOOKUP($C77,[2]Sheet5!$B$2:$C$304,2,0),"")</f>
        <v>KA51AH8284</v>
      </c>
      <c r="H77" s="5">
        <v>0.58333333333333304</v>
      </c>
      <c r="I77" s="8">
        <v>0.55208333333333304</v>
      </c>
    </row>
    <row r="78" spans="1:9" x14ac:dyDescent="0.25">
      <c r="A78" s="2">
        <v>3</v>
      </c>
      <c r="B78" s="7" t="s">
        <v>161</v>
      </c>
      <c r="C78" s="21" t="s">
        <v>162</v>
      </c>
      <c r="D78" s="21" t="str">
        <f>_xlfn.XLOOKUP($C78,VEH.NO!$B$2:$B$123,VEH.NO!$C$2:$C$123,"",0,1)</f>
        <v>KA51AH7673</v>
      </c>
      <c r="E78" s="2"/>
      <c r="F78" s="38" t="s">
        <v>165</v>
      </c>
      <c r="G78" s="39" t="str">
        <f>IFERROR(VLOOKUP($C78,[2]Sheet5!$B$2:$C$304,2,0),"")</f>
        <v>KA51AH7673</v>
      </c>
      <c r="H78" s="8">
        <v>0.58680555555555602</v>
      </c>
      <c r="I78" s="8">
        <v>0.55555555555555602</v>
      </c>
    </row>
    <row r="79" spans="1:9" x14ac:dyDescent="0.25">
      <c r="A79" s="2">
        <v>4</v>
      </c>
      <c r="B79" s="7" t="s">
        <v>163</v>
      </c>
      <c r="C79" s="21" t="s">
        <v>64</v>
      </c>
      <c r="D79" s="21" t="str">
        <f>_xlfn.XLOOKUP($C79,VEH.NO!$B$2:$B$123,VEH.NO!$C$2:$C$123,"",0,1)</f>
        <v>KA51AH7667</v>
      </c>
      <c r="E79" s="21"/>
      <c r="F79" s="38" t="s">
        <v>205</v>
      </c>
      <c r="G79" s="39" t="str">
        <f>IFERROR(VLOOKUP($C79,[2]Sheet5!$B$2:$C$304,2,0),"")</f>
        <v>KA51AH7667</v>
      </c>
      <c r="H79" s="8">
        <v>0.59375</v>
      </c>
      <c r="I79" s="8">
        <v>0.5625</v>
      </c>
    </row>
    <row r="80" spans="1:9" x14ac:dyDescent="0.25">
      <c r="A80" s="2">
        <v>5</v>
      </c>
      <c r="B80" s="9" t="s">
        <v>164</v>
      </c>
      <c r="C80" s="21" t="s">
        <v>165</v>
      </c>
      <c r="D80" s="21" t="str">
        <f>_xlfn.XLOOKUP($C80,VEH.NO!$B$2:$B$123,VEH.NO!$C$2:$C$123,"",0,1)</f>
        <v>KA51AH2953</v>
      </c>
      <c r="E80" s="33"/>
      <c r="F80" s="35" t="s">
        <v>160</v>
      </c>
      <c r="G80" s="39" t="str">
        <f>IFERROR(VLOOKUP($C80,[2]Sheet5!$B$2:$C$304,2,0),"")</f>
        <v>KA51AH2953</v>
      </c>
      <c r="H80" s="10">
        <v>0.59375</v>
      </c>
      <c r="I80" s="8">
        <v>0.5625</v>
      </c>
    </row>
    <row r="81" spans="1:9" x14ac:dyDescent="0.25">
      <c r="A81" s="2">
        <v>6</v>
      </c>
      <c r="B81" s="7" t="s">
        <v>166</v>
      </c>
      <c r="C81" s="21" t="s">
        <v>167</v>
      </c>
      <c r="D81" s="21" t="str">
        <f>_xlfn.XLOOKUP($C81,VEH.NO!$B$2:$B$123,VEH.NO!$C$2:$C$123,"",0,1)</f>
        <v>KA51AH6466</v>
      </c>
      <c r="E81" s="21"/>
      <c r="F81" s="35" t="s">
        <v>169</v>
      </c>
      <c r="G81" s="38" t="str">
        <f>IFERROR(VLOOKUP($C81,[2]Sheet5!$B$2:$C$304,2,0),"")</f>
        <v>KA51AH6466</v>
      </c>
      <c r="H81" s="8">
        <v>0.60069444444444398</v>
      </c>
      <c r="I81" s="8">
        <v>0.56944444444444398</v>
      </c>
    </row>
    <row r="82" spans="1:9" x14ac:dyDescent="0.25">
      <c r="A82" s="2">
        <v>7</v>
      </c>
      <c r="B82" s="11" t="s">
        <v>168</v>
      </c>
      <c r="C82" s="21" t="s">
        <v>169</v>
      </c>
      <c r="D82" s="21" t="str">
        <f>_xlfn.XLOOKUP($C82,VEH.NO!$B$2:$B$123,VEH.NO!$C$2:$C$123,"",0,1)</f>
        <v>KA51AH6037</v>
      </c>
      <c r="E82" s="2"/>
      <c r="F82" s="35" t="s">
        <v>167</v>
      </c>
      <c r="G82" s="38" t="str">
        <f>IFERROR(VLOOKUP($C82,[2]Sheet5!$B$2:$C$304,2,0),"")</f>
        <v>KA51AH6037</v>
      </c>
      <c r="H82" s="5">
        <v>0.60416666666666696</v>
      </c>
      <c r="I82" s="8">
        <v>0.57291666666666696</v>
      </c>
    </row>
    <row r="83" spans="1:9" x14ac:dyDescent="0.25">
      <c r="A83" s="2">
        <v>8</v>
      </c>
      <c r="B83" s="7" t="s">
        <v>170</v>
      </c>
      <c r="C83" s="21" t="s">
        <v>171</v>
      </c>
      <c r="D83" s="21" t="str">
        <f>_xlfn.XLOOKUP($C83,VEH.NO!$B$2:$B$123,VEH.NO!$C$2:$C$123,"",0,1)</f>
        <v>KA51AH6468</v>
      </c>
      <c r="E83" s="2"/>
      <c r="F83" s="35" t="s">
        <v>173</v>
      </c>
      <c r="G83" s="38" t="str">
        <f>IFERROR(VLOOKUP($C83,[2]Sheet5!$B$2:$C$304,2,0),"")</f>
        <v>KA51AH6468</v>
      </c>
      <c r="H83" s="8">
        <v>0.60763888888888895</v>
      </c>
      <c r="I83" s="8">
        <v>0.57638888888888895</v>
      </c>
    </row>
    <row r="84" spans="1:9" x14ac:dyDescent="0.25">
      <c r="A84" s="2">
        <v>9</v>
      </c>
      <c r="B84" s="9" t="s">
        <v>172</v>
      </c>
      <c r="C84" s="21" t="s">
        <v>173</v>
      </c>
      <c r="D84" s="21" t="str">
        <f>_xlfn.XLOOKUP($C84,VEH.NO!$B$2:$B$123,VEH.NO!$C$2:$C$123,"",0,1)</f>
        <v>KA51AH7664</v>
      </c>
      <c r="E84" s="2"/>
      <c r="F84" s="35" t="s">
        <v>171</v>
      </c>
      <c r="G84" s="38" t="str">
        <f>IFERROR(VLOOKUP($C84,[2]Sheet5!$B$2:$C$304,2,0),"")</f>
        <v>KA51AH7664</v>
      </c>
      <c r="H84" s="10">
        <v>0.61111111111111105</v>
      </c>
      <c r="I84" s="8">
        <v>0.57986111111111105</v>
      </c>
    </row>
    <row r="85" spans="1:9" x14ac:dyDescent="0.25">
      <c r="A85" s="2">
        <v>10</v>
      </c>
      <c r="B85" s="7" t="s">
        <v>174</v>
      </c>
      <c r="C85" s="21" t="s">
        <v>175</v>
      </c>
      <c r="D85" s="21" t="str">
        <f>_xlfn.XLOOKUP($C85,VEH.NO!$B$2:$B$123,VEH.NO!$C$2:$C$123,"",0,1)</f>
        <v>KA51AH7662</v>
      </c>
      <c r="E85" s="2"/>
      <c r="F85" s="38" t="s">
        <v>182</v>
      </c>
      <c r="G85" s="39" t="str">
        <f>IFERROR(VLOOKUP($C85,[2]Sheet5!$B$2:$C$304,2,0),"")</f>
        <v>KA51AH7662</v>
      </c>
      <c r="H85" s="8">
        <v>0.61458333333333304</v>
      </c>
      <c r="I85" s="8">
        <v>0.58333333333333304</v>
      </c>
    </row>
  </sheetData>
  <mergeCells count="1">
    <mergeCell ref="A1:I2"/>
  </mergeCells>
  <conditionalFormatting sqref="C4:C72">
    <cfRule type="duplicateValues" dxfId="99" priority="3061"/>
  </conditionalFormatting>
  <conditionalFormatting sqref="C76">
    <cfRule type="duplicateValues" dxfId="98" priority="2497"/>
  </conditionalFormatting>
  <conditionalFormatting sqref="C77">
    <cfRule type="duplicateValues" dxfId="97" priority="2496"/>
  </conditionalFormatting>
  <conditionalFormatting sqref="C78">
    <cfRule type="duplicateValues" dxfId="96" priority="2495"/>
  </conditionalFormatting>
  <conditionalFormatting sqref="C79">
    <cfRule type="duplicateValues" dxfId="95" priority="2494"/>
  </conditionalFormatting>
  <conditionalFormatting sqref="C80">
    <cfRule type="duplicateValues" dxfId="94" priority="2493"/>
  </conditionalFormatting>
  <conditionalFormatting sqref="C81">
    <cfRule type="duplicateValues" dxfId="93" priority="2492"/>
  </conditionalFormatting>
  <conditionalFormatting sqref="C82">
    <cfRule type="duplicateValues" dxfId="92" priority="2491"/>
  </conditionalFormatting>
  <conditionalFormatting sqref="C83">
    <cfRule type="duplicateValues" dxfId="91" priority="2490"/>
  </conditionalFormatting>
  <conditionalFormatting sqref="C84">
    <cfRule type="duplicateValues" dxfId="90" priority="2489"/>
  </conditionalFormatting>
  <conditionalFormatting sqref="C85">
    <cfRule type="duplicateValues" dxfId="89" priority="2488"/>
  </conditionalFormatting>
  <conditionalFormatting sqref="D4:D74">
    <cfRule type="duplicateValues" dxfId="88" priority="2871"/>
  </conditionalFormatting>
  <conditionalFormatting sqref="D76">
    <cfRule type="duplicateValues" dxfId="87" priority="2487"/>
  </conditionalFormatting>
  <conditionalFormatting sqref="D77">
    <cfRule type="duplicateValues" dxfId="86" priority="2486"/>
  </conditionalFormatting>
  <conditionalFormatting sqref="D78">
    <cfRule type="duplicateValues" dxfId="85" priority="2485"/>
  </conditionalFormatting>
  <conditionalFormatting sqref="D79">
    <cfRule type="duplicateValues" dxfId="84" priority="2484"/>
  </conditionalFormatting>
  <conditionalFormatting sqref="D80">
    <cfRule type="duplicateValues" dxfId="83" priority="2483"/>
  </conditionalFormatting>
  <conditionalFormatting sqref="D81">
    <cfRule type="duplicateValues" dxfId="82" priority="2482"/>
  </conditionalFormatting>
  <conditionalFormatting sqref="D82">
    <cfRule type="duplicateValues" dxfId="81" priority="2481"/>
  </conditionalFormatting>
  <conditionalFormatting sqref="D83">
    <cfRule type="duplicateValues" dxfId="80" priority="2480"/>
  </conditionalFormatting>
  <conditionalFormatting sqref="D84">
    <cfRule type="duplicateValues" dxfId="79" priority="2479"/>
  </conditionalFormatting>
  <conditionalFormatting sqref="D85">
    <cfRule type="duplicateValues" dxfId="78" priority="2478"/>
  </conditionalFormatting>
  <conditionalFormatting sqref="E4">
    <cfRule type="duplicateValues" dxfId="77" priority="1989"/>
    <cfRule type="duplicateValues" dxfId="76" priority="1990"/>
  </conditionalFormatting>
  <conditionalFormatting sqref="E5">
    <cfRule type="duplicateValues" dxfId="75" priority="2115"/>
  </conditionalFormatting>
  <conditionalFormatting sqref="E6">
    <cfRule type="duplicateValues" dxfId="74" priority="2110"/>
  </conditionalFormatting>
  <conditionalFormatting sqref="E7">
    <cfRule type="duplicateValues" dxfId="73" priority="1468"/>
    <cfRule type="duplicateValues" dxfId="72" priority="1467"/>
  </conditionalFormatting>
  <conditionalFormatting sqref="E9">
    <cfRule type="duplicateValues" dxfId="71" priority="2120"/>
    <cfRule type="duplicateValues" dxfId="70" priority="2121"/>
  </conditionalFormatting>
  <conditionalFormatting sqref="E12">
    <cfRule type="duplicateValues" dxfId="69" priority="1805"/>
    <cfRule type="duplicateValues" dxfId="68" priority="1806"/>
  </conditionalFormatting>
  <conditionalFormatting sqref="E13">
    <cfRule type="duplicateValues" dxfId="67" priority="1453"/>
  </conditionalFormatting>
  <conditionalFormatting sqref="E15">
    <cfRule type="duplicateValues" dxfId="66" priority="1773"/>
    <cfRule type="duplicateValues" dxfId="65" priority="1772"/>
  </conditionalFormatting>
  <conditionalFormatting sqref="E17">
    <cfRule type="duplicateValues" dxfId="64" priority="2184"/>
  </conditionalFormatting>
  <conditionalFormatting sqref="E20">
    <cfRule type="duplicateValues" dxfId="63" priority="1984"/>
    <cfRule type="duplicateValues" dxfId="62" priority="1983"/>
  </conditionalFormatting>
  <conditionalFormatting sqref="E21:E74">
    <cfRule type="duplicateValues" dxfId="61" priority="2134"/>
  </conditionalFormatting>
  <conditionalFormatting sqref="E79">
    <cfRule type="duplicateValues" dxfId="60" priority="1780"/>
  </conditionalFormatting>
  <conditionalFormatting sqref="E81">
    <cfRule type="duplicateValues" dxfId="59" priority="1829"/>
  </conditionalFormatting>
  <conditionalFormatting sqref="F76:F85">
    <cfRule type="duplicateValues" dxfId="44" priority="45"/>
    <cfRule type="duplicateValues" dxfId="43" priority="43"/>
  </conditionalFormatting>
  <conditionalFormatting sqref="F80:F85">
    <cfRule type="duplicateValues" dxfId="42" priority="44"/>
  </conditionalFormatting>
  <conditionalFormatting sqref="G75">
    <cfRule type="duplicateValues" dxfId="41" priority="2869"/>
    <cfRule type="duplicateValues" dxfId="40" priority="2870"/>
  </conditionalFormatting>
  <conditionalFormatting sqref="F20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F45">
    <cfRule type="duplicateValues" dxfId="9" priority="5"/>
    <cfRule type="duplicateValues" dxfId="8" priority="6"/>
    <cfRule type="duplicateValues" dxfId="7" priority="7"/>
    <cfRule type="duplicateValues" dxfId="6" priority="8"/>
  </conditionalFormatting>
  <conditionalFormatting sqref="F61:F65 F4:F16 F56:F59 F18:F19 F46:F54 F67:F74 F21:F44">
    <cfRule type="duplicateValues" dxfId="5" priority="13"/>
    <cfRule type="duplicateValues" dxfId="4" priority="14"/>
  </conditionalFormatting>
  <conditionalFormatting sqref="F61:F65 F4:F16 F56:F59 F18:F19 F46:F54 F67:F74 F21:F44">
    <cfRule type="duplicateValues" dxfId="3" priority="10"/>
  </conditionalFormatting>
  <conditionalFormatting sqref="F72:F74">
    <cfRule type="duplicateValues" dxfId="2" priority="11"/>
    <cfRule type="duplicateValues" dxfId="1" priority="12"/>
  </conditionalFormatting>
  <conditionalFormatting sqref="F4:F19 F46:F74 F21:F44">
    <cfRule type="duplicateValues" dxfId="0" priority="9"/>
  </conditionalFormatting>
  <pageMargins left="0.25" right="0.25" top="0.75" bottom="0.75" header="0.3" footer="0.3"/>
  <pageSetup paperSize="9" fitToHeight="0" orientation="portrait" r:id="rId1"/>
  <rowBreaks count="1" manualBreakCount="1">
    <brk id="43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3"/>
  <sheetViews>
    <sheetView topLeftCell="A82" workbookViewId="0">
      <selection activeCell="C103" sqref="C103"/>
    </sheetView>
  </sheetViews>
  <sheetFormatPr defaultColWidth="9" defaultRowHeight="13.5" x14ac:dyDescent="0.15"/>
  <cols>
    <col min="3" max="3" width="17.125" customWidth="1"/>
  </cols>
  <sheetData>
    <row r="1" spans="1:3" ht="18.75" x14ac:dyDescent="0.15">
      <c r="A1" s="15" t="s">
        <v>176</v>
      </c>
      <c r="B1" s="15" t="s">
        <v>5</v>
      </c>
      <c r="C1" s="15" t="s">
        <v>6</v>
      </c>
    </row>
    <row r="2" spans="1:3" ht="18.75" x14ac:dyDescent="0.15">
      <c r="A2" s="16">
        <v>1</v>
      </c>
      <c r="B2" s="16" t="s">
        <v>152</v>
      </c>
      <c r="C2" s="16" t="s">
        <v>177</v>
      </c>
    </row>
    <row r="3" spans="1:3" ht="18.75" x14ac:dyDescent="0.15">
      <c r="A3" s="16">
        <v>2</v>
      </c>
      <c r="B3" s="16" t="s">
        <v>80</v>
      </c>
      <c r="C3" s="16" t="s">
        <v>178</v>
      </c>
    </row>
    <row r="4" spans="1:3" ht="18.75" x14ac:dyDescent="0.15">
      <c r="A4" s="16">
        <v>3</v>
      </c>
      <c r="B4" s="16" t="s">
        <v>154</v>
      </c>
      <c r="C4" s="16" t="s">
        <v>179</v>
      </c>
    </row>
    <row r="5" spans="1:3" ht="18.75" x14ac:dyDescent="0.15">
      <c r="A5" s="16">
        <v>4</v>
      </c>
      <c r="B5" s="16" t="s">
        <v>180</v>
      </c>
      <c r="C5" s="16" t="s">
        <v>181</v>
      </c>
    </row>
    <row r="6" spans="1:3" ht="18.75" x14ac:dyDescent="0.15">
      <c r="A6" s="16">
        <v>5</v>
      </c>
      <c r="B6" s="16" t="s">
        <v>182</v>
      </c>
      <c r="C6" s="16" t="s">
        <v>183</v>
      </c>
    </row>
    <row r="7" spans="1:3" ht="18.75" x14ac:dyDescent="0.15">
      <c r="A7" s="16">
        <v>6</v>
      </c>
      <c r="B7" s="16" t="s">
        <v>124</v>
      </c>
      <c r="C7" s="17" t="s">
        <v>184</v>
      </c>
    </row>
    <row r="8" spans="1:3" ht="18.75" x14ac:dyDescent="0.15">
      <c r="A8" s="16">
        <v>7</v>
      </c>
      <c r="B8" s="16" t="s">
        <v>19</v>
      </c>
      <c r="C8" s="16" t="s">
        <v>185</v>
      </c>
    </row>
    <row r="9" spans="1:3" ht="18.75" x14ac:dyDescent="0.15">
      <c r="A9" s="16">
        <v>8</v>
      </c>
      <c r="B9" s="16" t="s">
        <v>186</v>
      </c>
      <c r="C9" s="16" t="s">
        <v>187</v>
      </c>
    </row>
    <row r="10" spans="1:3" ht="18.75" x14ac:dyDescent="0.15">
      <c r="A10" s="16">
        <v>9</v>
      </c>
      <c r="B10" s="16" t="s">
        <v>75</v>
      </c>
      <c r="C10" s="16" t="s">
        <v>188</v>
      </c>
    </row>
    <row r="11" spans="1:3" ht="18.75" x14ac:dyDescent="0.15">
      <c r="A11" s="16">
        <v>10</v>
      </c>
      <c r="B11" s="16" t="s">
        <v>140</v>
      </c>
      <c r="C11" s="16" t="s">
        <v>189</v>
      </c>
    </row>
    <row r="12" spans="1:3" ht="18.75" x14ac:dyDescent="0.15">
      <c r="A12" s="16">
        <v>11</v>
      </c>
      <c r="B12" s="16" t="s">
        <v>190</v>
      </c>
      <c r="C12" s="16" t="s">
        <v>191</v>
      </c>
    </row>
    <row r="13" spans="1:3" ht="18.75" x14ac:dyDescent="0.15">
      <c r="A13" s="16">
        <v>12</v>
      </c>
      <c r="B13" s="16" t="s">
        <v>192</v>
      </c>
      <c r="C13" s="16" t="s">
        <v>193</v>
      </c>
    </row>
    <row r="14" spans="1:3" ht="18.75" x14ac:dyDescent="0.15">
      <c r="A14" s="16">
        <v>13</v>
      </c>
      <c r="B14" s="16" t="s">
        <v>111</v>
      </c>
      <c r="C14" s="16" t="s">
        <v>194</v>
      </c>
    </row>
    <row r="15" spans="1:3" ht="18.75" x14ac:dyDescent="0.15">
      <c r="A15" s="16">
        <v>14</v>
      </c>
      <c r="B15" s="16" t="s">
        <v>195</v>
      </c>
      <c r="C15" s="16" t="s">
        <v>196</v>
      </c>
    </row>
    <row r="16" spans="1:3" ht="18.75" x14ac:dyDescent="0.15">
      <c r="A16" s="16">
        <v>15</v>
      </c>
      <c r="B16" s="16" t="s">
        <v>40</v>
      </c>
      <c r="C16" s="16" t="s">
        <v>197</v>
      </c>
    </row>
    <row r="17" spans="1:3" ht="18.75" x14ac:dyDescent="0.15">
      <c r="A17" s="16">
        <v>16</v>
      </c>
      <c r="B17" s="16" t="s">
        <v>165</v>
      </c>
      <c r="C17" s="16" t="s">
        <v>198</v>
      </c>
    </row>
    <row r="18" spans="1:3" ht="18.75" x14ac:dyDescent="0.15">
      <c r="A18" s="16">
        <v>17</v>
      </c>
      <c r="B18" s="16" t="s">
        <v>87</v>
      </c>
      <c r="C18" s="16" t="s">
        <v>199</v>
      </c>
    </row>
    <row r="19" spans="1:3" ht="18.75" x14ac:dyDescent="0.15">
      <c r="A19" s="16">
        <v>18</v>
      </c>
      <c r="B19" s="16" t="s">
        <v>36</v>
      </c>
      <c r="C19" s="16" t="s">
        <v>200</v>
      </c>
    </row>
    <row r="20" spans="1:3" ht="18.75" x14ac:dyDescent="0.15">
      <c r="A20" s="16">
        <v>19</v>
      </c>
      <c r="B20" s="16" t="s">
        <v>104</v>
      </c>
      <c r="C20" s="16" t="s">
        <v>201</v>
      </c>
    </row>
    <row r="21" spans="1:3" ht="18.75" x14ac:dyDescent="0.15">
      <c r="A21" s="16">
        <v>20</v>
      </c>
      <c r="B21" s="17" t="s">
        <v>35</v>
      </c>
      <c r="C21" s="17" t="s">
        <v>202</v>
      </c>
    </row>
    <row r="22" spans="1:3" ht="18.75" x14ac:dyDescent="0.15">
      <c r="A22" s="16">
        <v>21</v>
      </c>
      <c r="B22" s="16" t="s">
        <v>203</v>
      </c>
      <c r="C22" s="16" t="s">
        <v>204</v>
      </c>
    </row>
    <row r="23" spans="1:3" ht="18.75" x14ac:dyDescent="0.15">
      <c r="A23" s="16">
        <v>22</v>
      </c>
      <c r="B23" s="16" t="s">
        <v>205</v>
      </c>
      <c r="C23" s="16" t="s">
        <v>206</v>
      </c>
    </row>
    <row r="24" spans="1:3" ht="18.75" x14ac:dyDescent="0.15">
      <c r="A24" s="16">
        <v>23</v>
      </c>
      <c r="B24" s="16" t="s">
        <v>207</v>
      </c>
      <c r="C24" s="16" t="s">
        <v>208</v>
      </c>
    </row>
    <row r="25" spans="1:3" ht="18.75" x14ac:dyDescent="0.15">
      <c r="A25" s="16">
        <v>24</v>
      </c>
      <c r="B25" s="16" t="s">
        <v>54</v>
      </c>
      <c r="C25" s="16" t="s">
        <v>209</v>
      </c>
    </row>
    <row r="26" spans="1:3" ht="18.75" x14ac:dyDescent="0.15">
      <c r="A26" s="16">
        <v>25</v>
      </c>
      <c r="B26" s="16" t="s">
        <v>46</v>
      </c>
      <c r="C26" s="16" t="s">
        <v>210</v>
      </c>
    </row>
    <row r="27" spans="1:3" ht="18.75" x14ac:dyDescent="0.15">
      <c r="A27" s="16">
        <v>26</v>
      </c>
      <c r="B27" s="16" t="s">
        <v>149</v>
      </c>
      <c r="C27" s="16" t="s">
        <v>211</v>
      </c>
    </row>
    <row r="28" spans="1:3" ht="18.75" x14ac:dyDescent="0.15">
      <c r="A28" s="16">
        <v>27</v>
      </c>
      <c r="B28" s="16" t="s">
        <v>212</v>
      </c>
      <c r="C28" s="16" t="s">
        <v>213</v>
      </c>
    </row>
    <row r="29" spans="1:3" ht="18.75" x14ac:dyDescent="0.15">
      <c r="A29" s="16">
        <v>28</v>
      </c>
      <c r="B29" s="16" t="s">
        <v>214</v>
      </c>
      <c r="C29" s="16" t="s">
        <v>215</v>
      </c>
    </row>
    <row r="30" spans="1:3" ht="18.75" x14ac:dyDescent="0.15">
      <c r="A30" s="16">
        <v>29</v>
      </c>
      <c r="B30" s="16" t="s">
        <v>129</v>
      </c>
      <c r="C30" s="16" t="s">
        <v>216</v>
      </c>
    </row>
    <row r="31" spans="1:3" ht="18.75" x14ac:dyDescent="0.15">
      <c r="A31" s="16">
        <v>30</v>
      </c>
      <c r="B31" s="16" t="s">
        <v>31</v>
      </c>
      <c r="C31" s="16" t="s">
        <v>217</v>
      </c>
    </row>
    <row r="32" spans="1:3" ht="18.75" x14ac:dyDescent="0.15">
      <c r="A32" s="16">
        <v>31</v>
      </c>
      <c r="B32" s="16" t="s">
        <v>218</v>
      </c>
      <c r="C32" s="16" t="s">
        <v>219</v>
      </c>
    </row>
    <row r="33" spans="1:3" ht="18.75" x14ac:dyDescent="0.15">
      <c r="A33" s="16">
        <v>32</v>
      </c>
      <c r="B33" s="16" t="s">
        <v>84</v>
      </c>
      <c r="C33" s="16" t="s">
        <v>220</v>
      </c>
    </row>
    <row r="34" spans="1:3" ht="18.75" x14ac:dyDescent="0.15">
      <c r="A34" s="16">
        <v>33</v>
      </c>
      <c r="B34" s="16" t="s">
        <v>26</v>
      </c>
      <c r="C34" s="16" t="s">
        <v>221</v>
      </c>
    </row>
    <row r="35" spans="1:3" ht="18.75" x14ac:dyDescent="0.15">
      <c r="A35" s="16">
        <v>34</v>
      </c>
      <c r="B35" s="16" t="s">
        <v>121</v>
      </c>
      <c r="C35" s="16" t="s">
        <v>222</v>
      </c>
    </row>
    <row r="36" spans="1:3" ht="18.75" x14ac:dyDescent="0.15">
      <c r="A36" s="16">
        <v>35</v>
      </c>
      <c r="B36" s="16" t="s">
        <v>134</v>
      </c>
      <c r="C36" s="16" t="s">
        <v>223</v>
      </c>
    </row>
    <row r="37" spans="1:3" ht="18.75" x14ac:dyDescent="0.15">
      <c r="A37" s="16">
        <v>36</v>
      </c>
      <c r="B37" s="16" t="s">
        <v>33</v>
      </c>
      <c r="C37" s="16" t="s">
        <v>224</v>
      </c>
    </row>
    <row r="38" spans="1:3" ht="18.75" x14ac:dyDescent="0.15">
      <c r="A38" s="16">
        <v>37</v>
      </c>
      <c r="B38" s="16" t="s">
        <v>131</v>
      </c>
      <c r="C38" s="16" t="s">
        <v>225</v>
      </c>
    </row>
    <row r="39" spans="1:3" ht="18.75" x14ac:dyDescent="0.15">
      <c r="A39" s="16">
        <v>38</v>
      </c>
      <c r="B39" s="16" t="s">
        <v>226</v>
      </c>
      <c r="C39" s="16" t="s">
        <v>227</v>
      </c>
    </row>
    <row r="40" spans="1:3" ht="18.75" x14ac:dyDescent="0.15">
      <c r="A40" s="16">
        <v>39</v>
      </c>
      <c r="B40" s="16" t="s">
        <v>122</v>
      </c>
      <c r="C40" s="16" t="s">
        <v>228</v>
      </c>
    </row>
    <row r="41" spans="1:3" ht="18.75" x14ac:dyDescent="0.15">
      <c r="A41" s="16">
        <v>40</v>
      </c>
      <c r="B41" s="16" t="s">
        <v>229</v>
      </c>
      <c r="C41" s="16" t="s">
        <v>230</v>
      </c>
    </row>
    <row r="42" spans="1:3" ht="18.75" x14ac:dyDescent="0.15">
      <c r="A42" s="16">
        <v>41</v>
      </c>
      <c r="B42" s="16" t="s">
        <v>231</v>
      </c>
      <c r="C42" s="16" t="s">
        <v>232</v>
      </c>
    </row>
    <row r="43" spans="1:3" ht="18.75" x14ac:dyDescent="0.15">
      <c r="A43" s="16">
        <v>42</v>
      </c>
      <c r="B43" s="16" t="s">
        <v>173</v>
      </c>
      <c r="C43" s="16" t="s">
        <v>233</v>
      </c>
    </row>
    <row r="44" spans="1:3" ht="18.75" x14ac:dyDescent="0.15">
      <c r="A44" s="16">
        <v>43</v>
      </c>
      <c r="B44" s="16" t="s">
        <v>175</v>
      </c>
      <c r="C44" s="16" t="s">
        <v>234</v>
      </c>
    </row>
    <row r="45" spans="1:3" ht="18.75" x14ac:dyDescent="0.15">
      <c r="A45" s="16">
        <v>44</v>
      </c>
      <c r="B45" s="16" t="s">
        <v>14</v>
      </c>
      <c r="C45" s="16" t="s">
        <v>235</v>
      </c>
    </row>
    <row r="46" spans="1:3" ht="18.75" x14ac:dyDescent="0.15">
      <c r="A46" s="16">
        <v>45</v>
      </c>
      <c r="B46" s="16" t="s">
        <v>16</v>
      </c>
      <c r="C46" s="16" t="s">
        <v>236</v>
      </c>
    </row>
    <row r="47" spans="1:3" ht="18.75" x14ac:dyDescent="0.15">
      <c r="A47" s="16">
        <v>46</v>
      </c>
      <c r="B47" s="16" t="s">
        <v>71</v>
      </c>
      <c r="C47" s="16" t="s">
        <v>237</v>
      </c>
    </row>
    <row r="48" spans="1:3" ht="18.75" x14ac:dyDescent="0.15">
      <c r="A48" s="16">
        <v>47</v>
      </c>
      <c r="B48" s="16" t="s">
        <v>136</v>
      </c>
      <c r="C48" s="16" t="s">
        <v>238</v>
      </c>
    </row>
    <row r="49" spans="1:3" ht="18.75" x14ac:dyDescent="0.15">
      <c r="A49" s="16">
        <v>48</v>
      </c>
      <c r="B49" s="16" t="s">
        <v>98</v>
      </c>
      <c r="C49" s="16" t="s">
        <v>239</v>
      </c>
    </row>
    <row r="50" spans="1:3" ht="18.75" x14ac:dyDescent="0.15">
      <c r="A50" s="16">
        <v>49</v>
      </c>
      <c r="B50" s="16" t="s">
        <v>162</v>
      </c>
      <c r="C50" s="16" t="s">
        <v>240</v>
      </c>
    </row>
    <row r="51" spans="1:3" ht="18.75" x14ac:dyDescent="0.15">
      <c r="A51" s="16">
        <v>50</v>
      </c>
      <c r="B51" s="16" t="s">
        <v>241</v>
      </c>
      <c r="C51" s="16" t="s">
        <v>242</v>
      </c>
    </row>
    <row r="52" spans="1:3" ht="18.75" x14ac:dyDescent="0.15">
      <c r="A52" s="16">
        <v>51</v>
      </c>
      <c r="B52" s="16" t="s">
        <v>42</v>
      </c>
      <c r="C52" s="16" t="s">
        <v>243</v>
      </c>
    </row>
    <row r="53" spans="1:3" ht="18.75" x14ac:dyDescent="0.15">
      <c r="A53" s="16">
        <v>52</v>
      </c>
      <c r="B53" s="16" t="s">
        <v>244</v>
      </c>
      <c r="C53" s="16" t="s">
        <v>245</v>
      </c>
    </row>
    <row r="54" spans="1:3" ht="18.75" x14ac:dyDescent="0.15">
      <c r="A54" s="16">
        <v>53</v>
      </c>
      <c r="B54" s="16" t="s">
        <v>91</v>
      </c>
      <c r="C54" s="16" t="s">
        <v>246</v>
      </c>
    </row>
    <row r="55" spans="1:3" ht="18.75" x14ac:dyDescent="0.15">
      <c r="A55" s="16">
        <v>54</v>
      </c>
      <c r="B55" s="16" t="s">
        <v>73</v>
      </c>
      <c r="C55" s="16" t="s">
        <v>247</v>
      </c>
    </row>
    <row r="56" spans="1:3" ht="18.75" x14ac:dyDescent="0.15">
      <c r="A56" s="16">
        <v>55</v>
      </c>
      <c r="B56" s="16" t="s">
        <v>113</v>
      </c>
      <c r="C56" s="16" t="s">
        <v>248</v>
      </c>
    </row>
    <row r="57" spans="1:3" ht="18.75" x14ac:dyDescent="0.15">
      <c r="A57" s="16">
        <v>56</v>
      </c>
      <c r="B57" s="16" t="s">
        <v>249</v>
      </c>
      <c r="C57" s="16" t="s">
        <v>250</v>
      </c>
    </row>
    <row r="58" spans="1:3" ht="18.75" x14ac:dyDescent="0.15">
      <c r="A58" s="16">
        <v>57</v>
      </c>
      <c r="B58" s="16" t="s">
        <v>65</v>
      </c>
      <c r="C58" s="16" t="s">
        <v>251</v>
      </c>
    </row>
    <row r="59" spans="1:3" ht="18.75" x14ac:dyDescent="0.15">
      <c r="A59" s="16">
        <v>58</v>
      </c>
      <c r="B59" s="16" t="s">
        <v>38</v>
      </c>
      <c r="C59" s="16" t="s">
        <v>252</v>
      </c>
    </row>
    <row r="60" spans="1:3" ht="18.75" x14ac:dyDescent="0.15">
      <c r="A60" s="16">
        <v>59</v>
      </c>
      <c r="B60" s="16" t="s">
        <v>30</v>
      </c>
      <c r="C60" s="16" t="s">
        <v>253</v>
      </c>
    </row>
    <row r="61" spans="1:3" ht="18.75" x14ac:dyDescent="0.15">
      <c r="A61" s="16">
        <v>60</v>
      </c>
      <c r="B61" s="16" t="s">
        <v>160</v>
      </c>
      <c r="C61" s="16" t="s">
        <v>254</v>
      </c>
    </row>
    <row r="62" spans="1:3" ht="18.75" x14ac:dyDescent="0.15">
      <c r="A62" s="16">
        <v>61</v>
      </c>
      <c r="B62" s="16" t="s">
        <v>100</v>
      </c>
      <c r="C62" s="16" t="s">
        <v>255</v>
      </c>
    </row>
    <row r="63" spans="1:3" ht="18.75" x14ac:dyDescent="0.15">
      <c r="A63" s="16">
        <v>62</v>
      </c>
      <c r="B63" s="16" t="s">
        <v>256</v>
      </c>
      <c r="C63" s="16" t="s">
        <v>257</v>
      </c>
    </row>
    <row r="64" spans="1:3" ht="18.75" x14ac:dyDescent="0.15">
      <c r="A64" s="16">
        <v>63</v>
      </c>
      <c r="B64" s="16" t="s">
        <v>258</v>
      </c>
      <c r="C64" s="16" t="s">
        <v>259</v>
      </c>
    </row>
    <row r="65" spans="1:3" ht="18.75" x14ac:dyDescent="0.15">
      <c r="A65" s="16">
        <v>64</v>
      </c>
      <c r="B65" s="16" t="s">
        <v>260</v>
      </c>
      <c r="C65" s="16" t="s">
        <v>261</v>
      </c>
    </row>
    <row r="66" spans="1:3" ht="18.75" x14ac:dyDescent="0.15">
      <c r="A66" s="16">
        <v>65</v>
      </c>
      <c r="B66" s="16" t="s">
        <v>69</v>
      </c>
      <c r="C66" s="16" t="s">
        <v>262</v>
      </c>
    </row>
    <row r="67" spans="1:3" ht="18.75" x14ac:dyDescent="0.15">
      <c r="A67" s="16">
        <v>66</v>
      </c>
      <c r="B67" s="16" t="s">
        <v>23</v>
      </c>
      <c r="C67" s="16" t="s">
        <v>263</v>
      </c>
    </row>
    <row r="68" spans="1:3" ht="18.75" x14ac:dyDescent="0.15">
      <c r="A68" s="16">
        <v>67</v>
      </c>
      <c r="B68" s="16" t="s">
        <v>56</v>
      </c>
      <c r="C68" s="16" t="s">
        <v>264</v>
      </c>
    </row>
    <row r="69" spans="1:3" ht="18.75" x14ac:dyDescent="0.15">
      <c r="A69" s="16">
        <v>68</v>
      </c>
      <c r="B69" s="16" t="s">
        <v>115</v>
      </c>
      <c r="C69" s="16" t="s">
        <v>265</v>
      </c>
    </row>
    <row r="70" spans="1:3" ht="18.75" x14ac:dyDescent="0.15">
      <c r="A70" s="16">
        <v>69</v>
      </c>
      <c r="B70" s="16" t="s">
        <v>86</v>
      </c>
      <c r="C70" s="16" t="s">
        <v>266</v>
      </c>
    </row>
    <row r="71" spans="1:3" ht="18.75" x14ac:dyDescent="0.15">
      <c r="A71" s="16">
        <v>70</v>
      </c>
      <c r="B71" s="16" t="s">
        <v>93</v>
      </c>
      <c r="C71" s="16" t="s">
        <v>267</v>
      </c>
    </row>
    <row r="72" spans="1:3" ht="18.75" x14ac:dyDescent="0.15">
      <c r="A72" s="16">
        <v>71</v>
      </c>
      <c r="B72" s="16" t="s">
        <v>268</v>
      </c>
      <c r="C72" s="16" t="s">
        <v>269</v>
      </c>
    </row>
    <row r="73" spans="1:3" ht="18.75" x14ac:dyDescent="0.15">
      <c r="A73" s="16">
        <v>72</v>
      </c>
      <c r="B73" s="16" t="s">
        <v>147</v>
      </c>
      <c r="C73" s="16" t="s">
        <v>270</v>
      </c>
    </row>
    <row r="74" spans="1:3" ht="18.75" x14ac:dyDescent="0.15">
      <c r="A74" s="16">
        <v>73</v>
      </c>
      <c r="B74" s="16" t="s">
        <v>110</v>
      </c>
      <c r="C74" s="16" t="s">
        <v>271</v>
      </c>
    </row>
    <row r="75" spans="1:3" ht="18.75" x14ac:dyDescent="0.15">
      <c r="A75" s="16">
        <v>74</v>
      </c>
      <c r="B75" s="16" t="s">
        <v>10</v>
      </c>
      <c r="C75" s="16" t="s">
        <v>272</v>
      </c>
    </row>
    <row r="76" spans="1:3" ht="18.75" x14ac:dyDescent="0.15">
      <c r="A76" s="16">
        <v>75</v>
      </c>
      <c r="B76" s="16" t="s">
        <v>273</v>
      </c>
      <c r="C76" s="16" t="s">
        <v>274</v>
      </c>
    </row>
    <row r="77" spans="1:3" ht="18.75" x14ac:dyDescent="0.15">
      <c r="A77" s="16">
        <v>76</v>
      </c>
      <c r="B77" s="16" t="s">
        <v>116</v>
      </c>
      <c r="C77" s="16" t="s">
        <v>275</v>
      </c>
    </row>
    <row r="78" spans="1:3" ht="18.75" x14ac:dyDescent="0.15">
      <c r="A78" s="16">
        <v>77</v>
      </c>
      <c r="B78" s="16" t="s">
        <v>276</v>
      </c>
      <c r="C78" s="16" t="s">
        <v>277</v>
      </c>
    </row>
    <row r="79" spans="1:3" ht="18.75" x14ac:dyDescent="0.15">
      <c r="A79" s="16">
        <v>78</v>
      </c>
      <c r="B79" s="16" t="s">
        <v>44</v>
      </c>
      <c r="C79" s="16" t="s">
        <v>278</v>
      </c>
    </row>
    <row r="80" spans="1:3" ht="18.75" x14ac:dyDescent="0.15">
      <c r="A80" s="16">
        <v>79</v>
      </c>
      <c r="B80" s="16" t="s">
        <v>158</v>
      </c>
      <c r="C80" s="16" t="s">
        <v>279</v>
      </c>
    </row>
    <row r="81" spans="1:3" ht="18.75" x14ac:dyDescent="0.15">
      <c r="A81" s="16">
        <v>80</v>
      </c>
      <c r="B81" s="16" t="s">
        <v>280</v>
      </c>
      <c r="C81" s="16" t="s">
        <v>281</v>
      </c>
    </row>
    <row r="82" spans="1:3" ht="18.75" x14ac:dyDescent="0.15">
      <c r="A82" s="16">
        <v>81</v>
      </c>
      <c r="B82" s="16" t="s">
        <v>282</v>
      </c>
      <c r="C82" s="16" t="s">
        <v>283</v>
      </c>
    </row>
    <row r="83" spans="1:3" ht="18.75" x14ac:dyDescent="0.15">
      <c r="A83" s="16">
        <v>82</v>
      </c>
      <c r="B83" s="16" t="s">
        <v>62</v>
      </c>
      <c r="C83" s="16" t="s">
        <v>284</v>
      </c>
    </row>
    <row r="84" spans="1:3" ht="18.75" x14ac:dyDescent="0.15">
      <c r="A84" s="16">
        <v>83</v>
      </c>
      <c r="B84" s="16" t="s">
        <v>285</v>
      </c>
      <c r="C84" s="16" t="s">
        <v>286</v>
      </c>
    </row>
    <row r="85" spans="1:3" ht="18.75" x14ac:dyDescent="0.15">
      <c r="A85" s="16">
        <v>84</v>
      </c>
      <c r="B85" s="16" t="s">
        <v>287</v>
      </c>
      <c r="C85" s="16" t="s">
        <v>288</v>
      </c>
    </row>
    <row r="86" spans="1:3" ht="18.75" x14ac:dyDescent="0.15">
      <c r="A86" s="16">
        <v>85</v>
      </c>
      <c r="B86" s="16" t="s">
        <v>289</v>
      </c>
      <c r="C86" s="16" t="s">
        <v>290</v>
      </c>
    </row>
    <row r="87" spans="1:3" ht="18.75" x14ac:dyDescent="0.15">
      <c r="A87" s="16">
        <v>86</v>
      </c>
      <c r="B87" s="16" t="s">
        <v>169</v>
      </c>
      <c r="C87" s="16" t="s">
        <v>291</v>
      </c>
    </row>
    <row r="88" spans="1:3" ht="18.75" x14ac:dyDescent="0.15">
      <c r="A88" s="16">
        <v>87</v>
      </c>
      <c r="B88" s="16" t="s">
        <v>292</v>
      </c>
      <c r="C88" s="16" t="s">
        <v>293</v>
      </c>
    </row>
    <row r="89" spans="1:3" ht="18.75" x14ac:dyDescent="0.15">
      <c r="A89" s="16">
        <v>88</v>
      </c>
      <c r="B89" s="16" t="s">
        <v>294</v>
      </c>
      <c r="C89" s="16" t="s">
        <v>295</v>
      </c>
    </row>
    <row r="90" spans="1:3" ht="18.75" x14ac:dyDescent="0.15">
      <c r="A90" s="16">
        <v>89</v>
      </c>
      <c r="B90" s="16" t="s">
        <v>50</v>
      </c>
      <c r="C90" s="16" t="s">
        <v>296</v>
      </c>
    </row>
    <row r="91" spans="1:3" ht="18.75" x14ac:dyDescent="0.15">
      <c r="A91" s="16">
        <v>90</v>
      </c>
      <c r="B91" s="16" t="s">
        <v>297</v>
      </c>
      <c r="C91" s="16" t="s">
        <v>298</v>
      </c>
    </row>
    <row r="92" spans="1:3" ht="18.75" x14ac:dyDescent="0.15">
      <c r="A92" s="16">
        <v>91</v>
      </c>
      <c r="B92" s="16" t="s">
        <v>102</v>
      </c>
      <c r="C92" s="16" t="s">
        <v>299</v>
      </c>
    </row>
    <row r="93" spans="1:3" ht="18.75" x14ac:dyDescent="0.15">
      <c r="A93" s="16">
        <v>92</v>
      </c>
      <c r="B93" s="16" t="s">
        <v>107</v>
      </c>
      <c r="C93" s="16" t="s">
        <v>300</v>
      </c>
    </row>
    <row r="94" spans="1:3" ht="18.75" x14ac:dyDescent="0.15">
      <c r="A94" s="16">
        <v>93</v>
      </c>
      <c r="B94" s="16" t="s">
        <v>48</v>
      </c>
      <c r="C94" s="16" t="s">
        <v>301</v>
      </c>
    </row>
    <row r="95" spans="1:3" ht="18.75" x14ac:dyDescent="0.15">
      <c r="A95" s="16">
        <v>94</v>
      </c>
      <c r="B95" s="16" t="s">
        <v>60</v>
      </c>
      <c r="C95" s="16" t="s">
        <v>302</v>
      </c>
    </row>
    <row r="96" spans="1:3" ht="18.75" x14ac:dyDescent="0.15">
      <c r="A96" s="16">
        <v>95</v>
      </c>
      <c r="B96" s="16" t="s">
        <v>143</v>
      </c>
      <c r="C96" s="16" t="s">
        <v>303</v>
      </c>
    </row>
    <row r="97" spans="1:3" ht="18.75" x14ac:dyDescent="0.15">
      <c r="A97" s="16">
        <v>96</v>
      </c>
      <c r="B97" s="16" t="s">
        <v>304</v>
      </c>
      <c r="C97" s="16" t="s">
        <v>305</v>
      </c>
    </row>
    <row r="98" spans="1:3" ht="18.75" x14ac:dyDescent="0.15">
      <c r="A98" s="16">
        <v>97</v>
      </c>
      <c r="B98" s="16" t="s">
        <v>306</v>
      </c>
      <c r="C98" s="16" t="s">
        <v>307</v>
      </c>
    </row>
    <row r="99" spans="1:3" ht="18.75" x14ac:dyDescent="0.15">
      <c r="A99" s="16">
        <v>98</v>
      </c>
      <c r="B99" s="16" t="s">
        <v>12</v>
      </c>
      <c r="C99" s="16" t="s">
        <v>308</v>
      </c>
    </row>
    <row r="100" spans="1:3" ht="18.75" x14ac:dyDescent="0.15">
      <c r="A100" s="16">
        <v>99</v>
      </c>
      <c r="B100" s="16" t="s">
        <v>79</v>
      </c>
      <c r="C100" s="16" t="s">
        <v>309</v>
      </c>
    </row>
    <row r="101" spans="1:3" ht="18.75" x14ac:dyDescent="0.15">
      <c r="A101" s="16">
        <v>100</v>
      </c>
      <c r="B101" s="16" t="s">
        <v>127</v>
      </c>
      <c r="C101" s="16" t="s">
        <v>310</v>
      </c>
    </row>
    <row r="102" spans="1:3" ht="18.75" x14ac:dyDescent="0.15">
      <c r="A102" s="16">
        <v>101</v>
      </c>
      <c r="B102" s="16" t="s">
        <v>28</v>
      </c>
      <c r="C102" s="16" t="s">
        <v>311</v>
      </c>
    </row>
    <row r="103" spans="1:3" ht="18.75" x14ac:dyDescent="0.15">
      <c r="A103" s="16">
        <v>102</v>
      </c>
      <c r="B103" s="16" t="s">
        <v>64</v>
      </c>
      <c r="C103" s="16" t="s">
        <v>312</v>
      </c>
    </row>
    <row r="104" spans="1:3" ht="18.75" x14ac:dyDescent="0.15">
      <c r="A104" s="16">
        <v>103</v>
      </c>
      <c r="B104" s="16" t="s">
        <v>67</v>
      </c>
      <c r="C104" s="16" t="s">
        <v>313</v>
      </c>
    </row>
    <row r="105" spans="1:3" ht="18.75" x14ac:dyDescent="0.15">
      <c r="A105" s="16">
        <v>104</v>
      </c>
      <c r="B105" s="16" t="s">
        <v>314</v>
      </c>
      <c r="C105" s="16" t="s">
        <v>315</v>
      </c>
    </row>
    <row r="106" spans="1:3" ht="18.75" x14ac:dyDescent="0.15">
      <c r="A106" s="16">
        <v>105</v>
      </c>
      <c r="B106" s="16" t="s">
        <v>52</v>
      </c>
      <c r="C106" s="16" t="s">
        <v>316</v>
      </c>
    </row>
    <row r="107" spans="1:3" ht="18.75" x14ac:dyDescent="0.15">
      <c r="A107" s="16">
        <v>106</v>
      </c>
      <c r="B107" s="16" t="s">
        <v>138</v>
      </c>
      <c r="C107" s="16" t="s">
        <v>317</v>
      </c>
    </row>
    <row r="108" spans="1:3" ht="18.75" x14ac:dyDescent="0.15">
      <c r="A108" s="16">
        <v>107</v>
      </c>
      <c r="B108" s="16" t="s">
        <v>318</v>
      </c>
      <c r="C108" s="16" t="s">
        <v>319</v>
      </c>
    </row>
    <row r="109" spans="1:3" ht="18.75" x14ac:dyDescent="0.15">
      <c r="A109" s="16">
        <v>108</v>
      </c>
      <c r="B109" s="16" t="s">
        <v>94</v>
      </c>
      <c r="C109" s="16" t="s">
        <v>320</v>
      </c>
    </row>
    <row r="110" spans="1:3" ht="18.75" x14ac:dyDescent="0.15">
      <c r="A110" s="16">
        <v>109</v>
      </c>
      <c r="B110" s="16" t="s">
        <v>58</v>
      </c>
      <c r="C110" s="16" t="s">
        <v>321</v>
      </c>
    </row>
    <row r="111" spans="1:3" ht="18.75" x14ac:dyDescent="0.15">
      <c r="A111" s="16">
        <v>110</v>
      </c>
      <c r="B111" s="16" t="s">
        <v>89</v>
      </c>
      <c r="C111" s="16" t="s">
        <v>322</v>
      </c>
    </row>
    <row r="112" spans="1:3" ht="18.75" x14ac:dyDescent="0.15">
      <c r="A112" s="16">
        <v>111</v>
      </c>
      <c r="B112" s="16" t="s">
        <v>167</v>
      </c>
      <c r="C112" s="16" t="s">
        <v>323</v>
      </c>
    </row>
    <row r="113" spans="1:3" ht="18.75" x14ac:dyDescent="0.15">
      <c r="A113" s="16">
        <v>112</v>
      </c>
      <c r="B113" s="16" t="s">
        <v>171</v>
      </c>
      <c r="C113" s="16" t="s">
        <v>324</v>
      </c>
    </row>
    <row r="114" spans="1:3" ht="18.75" x14ac:dyDescent="0.15">
      <c r="A114" s="16">
        <v>113</v>
      </c>
      <c r="B114" s="16" t="s">
        <v>77</v>
      </c>
      <c r="C114" s="16" t="s">
        <v>325</v>
      </c>
    </row>
    <row r="115" spans="1:3" ht="18.75" x14ac:dyDescent="0.15">
      <c r="A115" s="16">
        <v>114</v>
      </c>
      <c r="B115" s="16" t="s">
        <v>18</v>
      </c>
      <c r="C115" s="16" t="s">
        <v>326</v>
      </c>
    </row>
    <row r="116" spans="1:3" ht="18.75" x14ac:dyDescent="0.15">
      <c r="A116" s="16">
        <v>115</v>
      </c>
      <c r="B116" s="16" t="s">
        <v>105</v>
      </c>
      <c r="C116" s="16" t="s">
        <v>327</v>
      </c>
    </row>
    <row r="117" spans="1:3" ht="18.75" x14ac:dyDescent="0.15">
      <c r="A117" s="16">
        <v>116</v>
      </c>
      <c r="B117" s="16" t="s">
        <v>328</v>
      </c>
      <c r="C117" s="16" t="s">
        <v>329</v>
      </c>
    </row>
    <row r="118" spans="1:3" ht="18.75" x14ac:dyDescent="0.15">
      <c r="A118" s="16">
        <v>117</v>
      </c>
      <c r="B118" s="16" t="s">
        <v>119</v>
      </c>
      <c r="C118" s="16" t="s">
        <v>330</v>
      </c>
    </row>
    <row r="119" spans="1:3" ht="18.75" x14ac:dyDescent="0.15">
      <c r="A119" s="16">
        <v>118</v>
      </c>
      <c r="B119" s="16" t="s">
        <v>331</v>
      </c>
      <c r="C119" s="16" t="s">
        <v>332</v>
      </c>
    </row>
    <row r="120" spans="1:3" ht="18.75" x14ac:dyDescent="0.15">
      <c r="A120" s="16">
        <v>119</v>
      </c>
      <c r="B120" s="16" t="s">
        <v>21</v>
      </c>
      <c r="C120" s="16" t="s">
        <v>333</v>
      </c>
    </row>
    <row r="121" spans="1:3" ht="18.75" x14ac:dyDescent="0.15">
      <c r="A121" s="16">
        <v>120</v>
      </c>
      <c r="B121" s="16" t="s">
        <v>82</v>
      </c>
      <c r="C121" s="16" t="s">
        <v>334</v>
      </c>
    </row>
    <row r="122" spans="1:3" ht="18.75" x14ac:dyDescent="0.15">
      <c r="A122" s="16">
        <v>121</v>
      </c>
      <c r="B122" s="16" t="s">
        <v>133</v>
      </c>
      <c r="C122" s="16" t="s">
        <v>335</v>
      </c>
    </row>
    <row r="123" spans="1:3" ht="18.75" x14ac:dyDescent="0.15">
      <c r="A123" s="16">
        <v>122</v>
      </c>
      <c r="B123" s="16" t="s">
        <v>96</v>
      </c>
      <c r="C123" s="16" t="s">
        <v>336</v>
      </c>
    </row>
  </sheetData>
  <conditionalFormatting sqref="B1:B117">
    <cfRule type="duplicateValues" dxfId="39" priority="2"/>
  </conditionalFormatting>
  <conditionalFormatting sqref="B118:B123">
    <cfRule type="duplicateValues" dxfId="38" priority="1"/>
  </conditionalFormatting>
  <conditionalFormatting sqref="C1:C123">
    <cfRule type="duplicateValues" dxfId="37" priority="3"/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defaultColWidth="9" defaultRowHeight="13.5" x14ac:dyDescent="0.15"/>
  <sheetData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5"/>
  <sheetViews>
    <sheetView workbookViewId="0">
      <selection activeCell="A2" sqref="A2:F25"/>
    </sheetView>
  </sheetViews>
  <sheetFormatPr defaultColWidth="9" defaultRowHeight="13.5" x14ac:dyDescent="0.15"/>
  <cols>
    <col min="4" max="4" width="12.125" customWidth="1"/>
  </cols>
  <sheetData>
    <row r="2" spans="1:6" x14ac:dyDescent="0.15">
      <c r="A2" s="41" t="s">
        <v>337</v>
      </c>
      <c r="B2" s="42"/>
      <c r="C2" s="42"/>
      <c r="D2" s="42"/>
      <c r="E2" s="42"/>
      <c r="F2" s="43"/>
    </row>
    <row r="3" spans="1:6" ht="15.75" x14ac:dyDescent="0.15">
      <c r="A3" s="1" t="s">
        <v>156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</row>
    <row r="4" spans="1:6" ht="15.75" x14ac:dyDescent="0.2">
      <c r="A4" s="2">
        <v>1</v>
      </c>
      <c r="B4" s="3" t="s">
        <v>157</v>
      </c>
      <c r="C4" s="4" t="s">
        <v>158</v>
      </c>
      <c r="D4" s="4" t="str">
        <f>_xlfn.XLOOKUP($C4,VEH.NO!$B$2:$B$123,VEH.NO!$C$2:$C$123,"",0,1)</f>
        <v>KA51AH5641</v>
      </c>
      <c r="E4" s="5">
        <v>0.57291666666666696</v>
      </c>
      <c r="F4" s="6">
        <v>0.54166666666666696</v>
      </c>
    </row>
    <row r="5" spans="1:6" ht="15.75" x14ac:dyDescent="0.2">
      <c r="A5" s="2">
        <v>2</v>
      </c>
      <c r="B5" s="3" t="s">
        <v>159</v>
      </c>
      <c r="C5" s="4" t="s">
        <v>160</v>
      </c>
      <c r="D5" s="4" t="str">
        <f>_xlfn.XLOOKUP($C5,VEH.NO!$B$2:$B$123,VEH.NO!$C$2:$C$123,"",0,1)</f>
        <v>KA51AH8284</v>
      </c>
      <c r="E5" s="5">
        <v>0.58333333333333304</v>
      </c>
      <c r="F5" s="6">
        <v>0.55208333333333304</v>
      </c>
    </row>
    <row r="6" spans="1:6" ht="15.75" x14ac:dyDescent="0.2">
      <c r="A6" s="2">
        <v>3</v>
      </c>
      <c r="B6" s="7" t="s">
        <v>161</v>
      </c>
      <c r="C6" s="4" t="s">
        <v>162</v>
      </c>
      <c r="D6" s="4" t="str">
        <f>_xlfn.XLOOKUP($C6,VEH.NO!$B$2:$B$123,VEH.NO!$C$2:$C$123,"",0,1)</f>
        <v>KA51AH7673</v>
      </c>
      <c r="E6" s="8">
        <v>0.58680555555555602</v>
      </c>
      <c r="F6" s="6">
        <v>0.55555555555555602</v>
      </c>
    </row>
    <row r="7" spans="1:6" ht="15.75" x14ac:dyDescent="0.2">
      <c r="A7" s="2">
        <v>4</v>
      </c>
      <c r="B7" s="7" t="s">
        <v>163</v>
      </c>
      <c r="C7" s="4" t="s">
        <v>65</v>
      </c>
      <c r="D7" s="4" t="str">
        <f>_xlfn.XLOOKUP($C7,VEH.NO!$B$2:$B$123,VEH.NO!$C$2:$C$123,"",0,1)</f>
        <v>KA51AH8348</v>
      </c>
      <c r="E7" s="8">
        <v>0.59375</v>
      </c>
      <c r="F7" s="6">
        <v>0.5625</v>
      </c>
    </row>
    <row r="8" spans="1:6" ht="15.75" x14ac:dyDescent="0.2">
      <c r="A8" s="2">
        <v>5</v>
      </c>
      <c r="B8" s="9" t="s">
        <v>164</v>
      </c>
      <c r="C8" s="4" t="s">
        <v>165</v>
      </c>
      <c r="D8" s="4" t="str">
        <f>_xlfn.XLOOKUP($C8,VEH.NO!$B$2:$B$123,VEH.NO!$C$2:$C$123,"",0,1)</f>
        <v>KA51AH2953</v>
      </c>
      <c r="E8" s="10">
        <v>0.59375</v>
      </c>
      <c r="F8" s="6">
        <v>0.5625</v>
      </c>
    </row>
    <row r="9" spans="1:6" ht="15.75" x14ac:dyDescent="0.2">
      <c r="A9" s="2">
        <v>6</v>
      </c>
      <c r="B9" s="7" t="s">
        <v>166</v>
      </c>
      <c r="C9" s="4" t="s">
        <v>167</v>
      </c>
      <c r="D9" s="4" t="str">
        <f>_xlfn.XLOOKUP($C9,VEH.NO!$B$2:$B$123,VEH.NO!$C$2:$C$123,"",0,1)</f>
        <v>KA51AH6466</v>
      </c>
      <c r="E9" s="8">
        <v>0.60069444444444398</v>
      </c>
      <c r="F9" s="6">
        <v>0.56944444444444398</v>
      </c>
    </row>
    <row r="10" spans="1:6" ht="15.75" x14ac:dyDescent="0.2">
      <c r="A10" s="2">
        <v>7</v>
      </c>
      <c r="B10" s="11" t="s">
        <v>168</v>
      </c>
      <c r="C10" s="4" t="s">
        <v>169</v>
      </c>
      <c r="D10" s="4" t="str">
        <f>_xlfn.XLOOKUP($C10,VEH.NO!$B$2:$B$123,VEH.NO!$C$2:$C$123,"",0,1)</f>
        <v>KA51AH6037</v>
      </c>
      <c r="E10" s="5">
        <v>0.60416666666666696</v>
      </c>
      <c r="F10" s="6">
        <v>0.57291666666666696</v>
      </c>
    </row>
    <row r="11" spans="1:6" ht="15.75" x14ac:dyDescent="0.2">
      <c r="A11" s="2">
        <v>8</v>
      </c>
      <c r="B11" s="7" t="s">
        <v>170</v>
      </c>
      <c r="C11" s="4" t="s">
        <v>171</v>
      </c>
      <c r="D11" s="4" t="str">
        <f>_xlfn.XLOOKUP($C11,VEH.NO!$B$2:$B$123,VEH.NO!$C$2:$C$123,"",0,1)</f>
        <v>KA51AH6468</v>
      </c>
      <c r="E11" s="8">
        <v>0.60763888888888895</v>
      </c>
      <c r="F11" s="6">
        <v>0.57638888888888895</v>
      </c>
    </row>
    <row r="12" spans="1:6" ht="15.75" x14ac:dyDescent="0.2">
      <c r="A12" s="2">
        <v>9</v>
      </c>
      <c r="B12" s="9" t="s">
        <v>172</v>
      </c>
      <c r="C12" s="4" t="s">
        <v>173</v>
      </c>
      <c r="D12" s="4" t="str">
        <f>_xlfn.XLOOKUP($C12,VEH.NO!$B$2:$B$123,VEH.NO!$C$2:$C$123,"",0,1)</f>
        <v>KA51AH7664</v>
      </c>
      <c r="E12" s="10">
        <v>0.61111111111111105</v>
      </c>
      <c r="F12" s="6">
        <v>0.57986111111111105</v>
      </c>
    </row>
    <row r="13" spans="1:6" ht="15.75" x14ac:dyDescent="0.2">
      <c r="A13" s="2">
        <v>10</v>
      </c>
      <c r="B13" s="7" t="s">
        <v>174</v>
      </c>
      <c r="C13" s="4" t="s">
        <v>175</v>
      </c>
      <c r="D13" s="4" t="str">
        <f>_xlfn.XLOOKUP($C13,VEH.NO!$B$2:$B$123,VEH.NO!$C$2:$C$123,"",0,1)</f>
        <v>KA51AH7662</v>
      </c>
      <c r="E13" s="8">
        <v>0.61458333333333304</v>
      </c>
      <c r="F13" s="6">
        <v>0.58333333333333304</v>
      </c>
    </row>
    <row r="14" spans="1:6" x14ac:dyDescent="0.15">
      <c r="A14" s="41" t="s">
        <v>338</v>
      </c>
      <c r="B14" s="42"/>
      <c r="C14" s="42"/>
      <c r="D14" s="42"/>
      <c r="E14" s="42"/>
      <c r="F14" s="43"/>
    </row>
    <row r="15" spans="1:6" ht="15.75" x14ac:dyDescent="0.15">
      <c r="A15" s="1" t="s">
        <v>156</v>
      </c>
      <c r="B15" s="1" t="s">
        <v>1</v>
      </c>
      <c r="C15" s="1" t="s">
        <v>2</v>
      </c>
      <c r="D15" s="1" t="s">
        <v>3</v>
      </c>
      <c r="E15" s="1" t="s">
        <v>7</v>
      </c>
      <c r="F15" s="1" t="s">
        <v>8</v>
      </c>
    </row>
    <row r="16" spans="1:6" ht="15" x14ac:dyDescent="0.15">
      <c r="A16" s="2">
        <v>1</v>
      </c>
      <c r="B16" s="12" t="s">
        <v>339</v>
      </c>
      <c r="C16" s="13" t="s">
        <v>331</v>
      </c>
      <c r="D16" s="13" t="s">
        <v>332</v>
      </c>
      <c r="E16" s="14"/>
      <c r="F16" s="14"/>
    </row>
    <row r="17" spans="1:6" ht="15" x14ac:dyDescent="0.15">
      <c r="A17" s="2">
        <v>2</v>
      </c>
      <c r="B17" s="12" t="s">
        <v>340</v>
      </c>
      <c r="C17" s="13" t="s">
        <v>154</v>
      </c>
      <c r="D17" s="13" t="s">
        <v>179</v>
      </c>
      <c r="E17" s="14"/>
      <c r="F17" s="14"/>
    </row>
    <row r="18" spans="1:6" ht="15" x14ac:dyDescent="0.15">
      <c r="A18" s="2">
        <v>3</v>
      </c>
      <c r="B18" s="12" t="s">
        <v>341</v>
      </c>
      <c r="C18" s="13" t="s">
        <v>306</v>
      </c>
      <c r="D18" s="13" t="s">
        <v>307</v>
      </c>
      <c r="E18" s="14"/>
      <c r="F18" s="14"/>
    </row>
    <row r="19" spans="1:6" ht="15" x14ac:dyDescent="0.15">
      <c r="A19" s="2">
        <v>4</v>
      </c>
      <c r="B19" s="12" t="s">
        <v>342</v>
      </c>
      <c r="C19" s="13" t="s">
        <v>282</v>
      </c>
      <c r="D19" s="13" t="s">
        <v>283</v>
      </c>
      <c r="E19" s="14"/>
      <c r="F19" s="14"/>
    </row>
    <row r="20" spans="1:6" ht="15" x14ac:dyDescent="0.15">
      <c r="A20" s="2">
        <v>5</v>
      </c>
      <c r="B20" s="12" t="s">
        <v>343</v>
      </c>
      <c r="C20" s="13" t="s">
        <v>244</v>
      </c>
      <c r="D20" s="13" t="s">
        <v>245</v>
      </c>
      <c r="E20" s="14"/>
      <c r="F20" s="14"/>
    </row>
    <row r="21" spans="1:6" ht="15" x14ac:dyDescent="0.15">
      <c r="A21" s="2">
        <v>6</v>
      </c>
      <c r="B21" s="12" t="s">
        <v>344</v>
      </c>
      <c r="C21" s="13" t="s">
        <v>273</v>
      </c>
      <c r="D21" s="13" t="s">
        <v>274</v>
      </c>
      <c r="E21" s="14"/>
      <c r="F21" s="14"/>
    </row>
    <row r="22" spans="1:6" ht="15" x14ac:dyDescent="0.15">
      <c r="A22" s="2">
        <v>7</v>
      </c>
      <c r="B22" s="12" t="s">
        <v>345</v>
      </c>
      <c r="C22" s="13" t="s">
        <v>292</v>
      </c>
      <c r="D22" s="13" t="s">
        <v>293</v>
      </c>
      <c r="E22" s="14"/>
      <c r="F22" s="14"/>
    </row>
    <row r="23" spans="1:6" ht="15" x14ac:dyDescent="0.15">
      <c r="A23" s="2">
        <v>8</v>
      </c>
      <c r="B23" s="12" t="s">
        <v>346</v>
      </c>
      <c r="C23" s="13" t="s">
        <v>287</v>
      </c>
      <c r="D23" s="13" t="s">
        <v>288</v>
      </c>
      <c r="E23" s="14"/>
      <c r="F23" s="14"/>
    </row>
    <row r="24" spans="1:6" ht="15" x14ac:dyDescent="0.15">
      <c r="A24" s="2">
        <v>9</v>
      </c>
      <c r="B24" s="12" t="s">
        <v>347</v>
      </c>
      <c r="C24" s="13" t="s">
        <v>136</v>
      </c>
      <c r="D24" s="13" t="s">
        <v>238</v>
      </c>
      <c r="E24" s="14"/>
      <c r="F24" s="14"/>
    </row>
    <row r="25" spans="1:6" ht="15" x14ac:dyDescent="0.15">
      <c r="A25" s="2">
        <v>10</v>
      </c>
      <c r="B25" s="12" t="s">
        <v>348</v>
      </c>
      <c r="C25" s="13" t="s">
        <v>124</v>
      </c>
      <c r="D25" s="13" t="s">
        <v>184</v>
      </c>
      <c r="E25" s="14"/>
      <c r="F25" s="14"/>
    </row>
  </sheetData>
  <mergeCells count="2">
    <mergeCell ref="A2:F2"/>
    <mergeCell ref="A14:F14"/>
  </mergeCells>
  <conditionalFormatting sqref="C4">
    <cfRule type="duplicateValues" dxfId="36" priority="29"/>
  </conditionalFormatting>
  <conditionalFormatting sqref="C5">
    <cfRule type="duplicateValues" dxfId="35" priority="28"/>
  </conditionalFormatting>
  <conditionalFormatting sqref="C6">
    <cfRule type="duplicateValues" dxfId="34" priority="27"/>
  </conditionalFormatting>
  <conditionalFormatting sqref="C7">
    <cfRule type="duplicateValues" dxfId="33" priority="26"/>
  </conditionalFormatting>
  <conditionalFormatting sqref="C8">
    <cfRule type="duplicateValues" dxfId="32" priority="25"/>
  </conditionalFormatting>
  <conditionalFormatting sqref="C9">
    <cfRule type="duplicateValues" dxfId="31" priority="24"/>
  </conditionalFormatting>
  <conditionalFormatting sqref="C10">
    <cfRule type="duplicateValues" dxfId="30" priority="23"/>
  </conditionalFormatting>
  <conditionalFormatting sqref="C11">
    <cfRule type="duplicateValues" dxfId="29" priority="22"/>
  </conditionalFormatting>
  <conditionalFormatting sqref="C12">
    <cfRule type="duplicateValues" dxfId="28" priority="21"/>
  </conditionalFormatting>
  <conditionalFormatting sqref="C13">
    <cfRule type="duplicateValues" dxfId="27" priority="20"/>
  </conditionalFormatting>
  <conditionalFormatting sqref="C16 C17 C18 C19 C20 C21 C22 C23 C24 C25">
    <cfRule type="duplicateValues" dxfId="26" priority="1"/>
    <cfRule type="duplicateValues" dxfId="25" priority="2"/>
    <cfRule type="duplicateValues" dxfId="24" priority="3"/>
  </conditionalFormatting>
  <conditionalFormatting sqref="D4">
    <cfRule type="duplicateValues" dxfId="23" priority="19"/>
  </conditionalFormatting>
  <conditionalFormatting sqref="D5">
    <cfRule type="duplicateValues" dxfId="22" priority="18"/>
  </conditionalFormatting>
  <conditionalFormatting sqref="D6">
    <cfRule type="duplicateValues" dxfId="21" priority="17"/>
  </conditionalFormatting>
  <conditionalFormatting sqref="D7">
    <cfRule type="duplicateValues" dxfId="20" priority="16"/>
  </conditionalFormatting>
  <conditionalFormatting sqref="D8">
    <cfRule type="duplicateValues" dxfId="19" priority="15"/>
  </conditionalFormatting>
  <conditionalFormatting sqref="D9">
    <cfRule type="duplicateValues" dxfId="18" priority="14"/>
  </conditionalFormatting>
  <conditionalFormatting sqref="D10">
    <cfRule type="duplicateValues" dxfId="17" priority="13"/>
  </conditionalFormatting>
  <conditionalFormatting sqref="D11">
    <cfRule type="duplicateValues" dxfId="16" priority="12"/>
  </conditionalFormatting>
  <conditionalFormatting sqref="D12">
    <cfRule type="duplicateValues" dxfId="15" priority="11"/>
  </conditionalFormatting>
  <conditionalFormatting sqref="D13">
    <cfRule type="duplicateValues" dxfId="14" priority="10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SCH DATA NH</vt:lpstr>
      <vt:lpstr>VEH.NO</vt:lpstr>
      <vt:lpstr>Sheet1</vt:lpstr>
      <vt:lpstr>Sheet2</vt:lpstr>
      <vt:lpstr>'SCH DATA NH'!Print_Area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Sivaraman G (Operations)</dc:creator>
  <cp:lastModifiedBy>KAUNTIA MOTORS</cp:lastModifiedBy>
  <cp:lastPrinted>2026-07-22T06:22:05Z</cp:lastPrinted>
  <dcterms:created xsi:type="dcterms:W3CDTF">2024-09-16T12:41:00Z</dcterms:created>
  <dcterms:modified xsi:type="dcterms:W3CDTF">2026-07-23T03:16:12Z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D373D13340064741A6B5F291E9281AA2_12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